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MAW1.1\CDCProjet\Planification\"/>
    </mc:Choice>
  </mc:AlternateContent>
  <bookViews>
    <workbookView xWindow="0" yWindow="0" windowWidth="28800" windowHeight="12330" activeTab="7"/>
  </bookViews>
  <sheets>
    <sheet name="Donnees" sheetId="7" r:id="rId1"/>
    <sheet name="Diagramme" sheetId="16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3" r:id="rId7"/>
    <sheet name="JNLTRAV" sheetId="161" r:id="rId8"/>
  </sheets>
  <definedNames>
    <definedName name="datDateBegin">Donnees!$C$9</definedName>
    <definedName name="ListTasks">Diagramme!$B$3:$B$32</definedName>
    <definedName name="lstTasks">Donnees!$C$20:$C$45</definedName>
    <definedName name="NbLessons">Diagramme!$C$3:$C$32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Diagramme!$A$1:$JN$35</definedName>
    <definedName name="_xlnm.Print_Area" localSheetId="0">Donnees!$A$1:$G$54</definedName>
    <definedName name="_xlnm.Print_Area" localSheetId="7">JNLTRAV!$A$1:$D$285</definedName>
    <definedName name="_xlnm.Print_Area" localSheetId="6">Planning!$A$1:$D$116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fileRecoveryPr repairLoad="1"/>
</workbook>
</file>

<file path=xl/calcChain.xml><?xml version="1.0" encoding="utf-8"?>
<calcChain xmlns="http://schemas.openxmlformats.org/spreadsheetml/2006/main">
  <c r="B115" i="163" l="1"/>
  <c r="B108" i="163"/>
  <c r="B99" i="163"/>
  <c r="B91" i="163"/>
  <c r="B84" i="163"/>
  <c r="B77" i="163"/>
  <c r="B67" i="163"/>
  <c r="B60" i="163"/>
  <c r="B53" i="163"/>
  <c r="B43" i="163"/>
  <c r="B36" i="163"/>
  <c r="B29" i="163"/>
  <c r="B24" i="163"/>
  <c r="B16" i="163"/>
  <c r="B8" i="163"/>
  <c r="B31" i="162"/>
  <c r="B29" i="162"/>
  <c r="B27" i="162"/>
  <c r="B25" i="162"/>
  <c r="B23" i="162"/>
  <c r="B21" i="162"/>
  <c r="B19" i="162"/>
  <c r="B17" i="162"/>
  <c r="B15" i="162"/>
  <c r="B13" i="162"/>
  <c r="B11" i="162"/>
  <c r="B9" i="162"/>
  <c r="B7" i="162"/>
  <c r="B5" i="162"/>
  <c r="C34" i="162"/>
  <c r="C33" i="162"/>
  <c r="B284" i="161"/>
  <c r="B265" i="161"/>
  <c r="B246" i="161"/>
  <c r="B227" i="161"/>
  <c r="B208" i="161"/>
  <c r="B189" i="161"/>
  <c r="B170" i="161"/>
  <c r="B151" i="161"/>
  <c r="B132" i="161"/>
  <c r="B113" i="161"/>
  <c r="B94" i="161"/>
  <c r="B75" i="161"/>
  <c r="B56" i="161"/>
  <c r="B37" i="161"/>
  <c r="B18" i="161"/>
  <c r="B18" i="154" l="1"/>
  <c r="B13" i="11"/>
</calcChain>
</file>

<file path=xl/sharedStrings.xml><?xml version="1.0" encoding="utf-8"?>
<sst xmlns="http://schemas.openxmlformats.org/spreadsheetml/2006/main" count="462" uniqueCount="111">
  <si>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</si>
  <si>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</si>
  <si>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</si>
  <si>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</si>
  <si>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</si>
  <si>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</si>
  <si>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</si>
  <si>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</si>
  <si>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</si>
  <si>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</si>
  <si>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</si>
  <si>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</si>
  <si>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</si>
  <si>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</si>
  <si>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</si>
  <si>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</si>
  <si>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</si>
  <si>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</si>
  <si>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</si>
  <si>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</si>
  <si>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</si>
  <si>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</si>
  <si>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</si>
  <si>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</si>
  <si>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Analyse</t>
  </si>
  <si>
    <t>Création des maquettes</t>
  </si>
  <si>
    <t>Documentation</t>
  </si>
  <si>
    <t>Prise de connaissance du projet</t>
  </si>
  <si>
    <t>Création de la grille de test</t>
  </si>
  <si>
    <t>Tests</t>
  </si>
  <si>
    <t>Création du layout</t>
  </si>
  <si>
    <t>Mise en place du dépôt GitHub</t>
  </si>
  <si>
    <t>STOP</t>
  </si>
  <si>
    <t>S 1</t>
  </si>
  <si>
    <t>S 2</t>
  </si>
  <si>
    <t>S 3</t>
  </si>
  <si>
    <t>S 4</t>
  </si>
  <si>
    <t>S 5</t>
  </si>
  <si>
    <t>S 6</t>
  </si>
  <si>
    <t>MAW1.1</t>
  </si>
  <si>
    <t>Sacha Grenier, Xavier Schwab</t>
  </si>
  <si>
    <t>SiT-1A</t>
  </si>
  <si>
    <t>Création de la planification</t>
  </si>
  <si>
    <t>Edition du journal de travail</t>
  </si>
  <si>
    <t>Développement de l'application</t>
  </si>
  <si>
    <t>Développement de la fonction de recherche</t>
  </si>
  <si>
    <t>Développement de la prévisualisation</t>
  </si>
  <si>
    <t>Développement de la liste de résultats</t>
  </si>
  <si>
    <t>Max. 18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</si>
  <si>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</si>
  <si>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</si>
  <si>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</si>
  <si>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</si>
  <si>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</si>
  <si>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</si>
  <si>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</si>
  <si>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</si>
  <si>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</si>
  <si>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Création du cahier de charges</t>
  </si>
  <si>
    <t>Création du cahier de charges, écriture des informations générales</t>
  </si>
  <si>
    <t>Design basique des maquettes</t>
  </si>
  <si>
    <t>Reflexion avancée sur les maquettes, finalisation</t>
  </si>
  <si>
    <t>Lecture des réponses données par le client</t>
  </si>
  <si>
    <t>Ecriture des Use-Case, explication de la maquette</t>
  </si>
  <si>
    <t>Camp</t>
  </si>
  <si>
    <t>Demande obtenue par le client, mise en place de questions par rapport à sa demande</t>
  </si>
  <si>
    <t>Analyse des ressources requises et des fonctionnalités demandées</t>
  </si>
  <si>
    <t>Sur les ordinateurs</t>
  </si>
  <si>
    <t>Mise en place de l'environement, création de la fenêtre d'application en se basant sur la maquette</t>
  </si>
  <si>
    <t>Planification générale du projet, création de journal de travail</t>
  </si>
  <si>
    <t>Mise à jour des données</t>
  </si>
  <si>
    <t>Création du rapport de projet</t>
  </si>
  <si>
    <t>Mise à jour du rapport de projet</t>
  </si>
  <si>
    <t>M.à.j.</t>
  </si>
  <si>
    <t>Création de tests</t>
  </si>
  <si>
    <t>Correction des bugs suite aux tests</t>
  </si>
  <si>
    <t>Finalisation de rapport de projet</t>
  </si>
  <si>
    <t>Finalisation du journal de travail</t>
  </si>
  <si>
    <t>Retour du projet</t>
  </si>
  <si>
    <t>Recherche des ressources pouvant être utile pour la recherche</t>
  </si>
  <si>
    <t>Recherche de documents avec la barre de recherche</t>
  </si>
  <si>
    <t>Recherche de documents avec la barre de recherche et filtres</t>
  </si>
  <si>
    <t>Optimisation recherche de documents</t>
  </si>
  <si>
    <t>Création d'un paterne de tests, et creation de tests pour la fonction de recherche</t>
  </si>
  <si>
    <t>tests de la fonction de recherche</t>
  </si>
  <si>
    <t>Correction de bugs suite aux tests</t>
  </si>
  <si>
    <t>Insertion des tests dans la documentation avec les résultats obtenus</t>
  </si>
  <si>
    <t>Execution de tests</t>
  </si>
  <si>
    <t>Finalisation du développement de la liste de résultats</t>
  </si>
  <si>
    <t>Correction des bugs suite au tests</t>
  </si>
  <si>
    <t>Création de tests pour la liste de résultats</t>
  </si>
  <si>
    <t xml:space="preserve"> Execution des tests</t>
  </si>
  <si>
    <t>Doc. Du client : https://docs.google.com/document/d/1apzqjvQpRkwv5_bBAuR2quIVcf3MvU4gNRlsXNIKT8g/edit</t>
  </si>
  <si>
    <t>https://github.com/SachaGrenier/MAW1.1</t>
  </si>
  <si>
    <t>https://github.com/SachaGrenier/MAW1.1/blob/master/CDCProjet/Use%20Case/Filtre%20et%20recherche%20de%20document.docx</t>
  </si>
  <si>
    <t>https://github.com/SachaGrenier/MAW1.1/tree/master/CDCProjet/Mockup</t>
  </si>
  <si>
    <t>https://github.com/SachaGrenier/MAW1.1/blob/master/CDCProjet/CDC/Cahier_des_charges.docx</t>
  </si>
  <si>
    <t>Camp + lundi du jeune</t>
  </si>
  <si>
    <t>Mise en place de l'environement, création de la base de l'application construction du bouton de séléction de dossier</t>
  </si>
  <si>
    <t>Recherches sur la mise en place d'un bouton de récupération de dossier</t>
  </si>
  <si>
    <t>Analyse de l'architechture des méthodes à intégrer</t>
  </si>
  <si>
    <t>https://github.com/SachaGrenier/MAW1.1/tree/master/CDCProjet</t>
  </si>
  <si>
    <t>https://docs.microsoft.com/en-us/dotnet/csharp/programming-guide/concepts/linq/introduction-to-linq-queries</t>
  </si>
  <si>
    <t>Implémentation des fonctions LINQ de recherche et adaptation dans notre code</t>
  </si>
  <si>
    <t>Le Git à été refait suite à des erreurs de manipulation</t>
  </si>
  <si>
    <t>Recherche sur LinQ et de son utilisation pour notre situation</t>
  </si>
  <si>
    <t>Développement de la fonction de recherche dans la liste des documents</t>
  </si>
  <si>
    <t>Développement de la fonction qui récupère les méta données pour les afficher dans la liste de résultats</t>
  </si>
  <si>
    <t>Vacances</t>
  </si>
  <si>
    <t>Completion de la recherche, notamment pour les documents word ainsi que leur contenu</t>
  </si>
  <si>
    <t>M.à.j.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</si>
</sst>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3" borderId="14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Planific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39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40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41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43343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43448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24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29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43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58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M34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273" ht="13.5" thickBot="1" x14ac:dyDescent="0.25">
      <c r="B1" s="86"/>
      <c r="C1" s="86"/>
    </row>
    <row r="2" spans="1:273" ht="42.75" customHeight="1" thickBot="1" x14ac:dyDescent="0.25">
      <c r="A2" s="87"/>
      <c r="B2" s="45" t="s">
        <v>5</v>
      </c>
      <c r="C2" s="29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1" t="s">
        <v>34</v>
      </c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35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3"/>
      <c r="BF2" s="121" t="s">
        <v>36</v>
      </c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37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38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3"/>
      <c r="DH2" s="121" t="s">
        <v>49</v>
      </c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3"/>
      <c r="DZ2" s="121" t="s">
        <v>50</v>
      </c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51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3"/>
      <c r="FJ2" s="121" t="s">
        <v>52</v>
      </c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53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3"/>
      <c r="GT2" s="121" t="s">
        <v>54</v>
      </c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55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3"/>
      <c r="ID2" s="121" t="s">
        <v>56</v>
      </c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3"/>
      <c r="IV2" s="121" t="s">
        <v>57</v>
      </c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3"/>
    </row>
    <row r="3" spans="1:273" ht="19.5" customHeight="1" x14ac:dyDescent="0.2">
      <c r="A3" s="87"/>
      <c r="B3" s="126" t="s">
        <v>21</v>
      </c>
      <c r="C3" s="30">
        <v>18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2"/>
      <c r="BX3" s="88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2"/>
      <c r="CP3" s="88"/>
      <c r="CQ3" s="89"/>
      <c r="CR3" s="90"/>
      <c r="CS3" s="91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2"/>
      <c r="DH3" s="88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2"/>
      <c r="DZ3" s="88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2"/>
      <c r="ER3" s="88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2"/>
      <c r="FJ3" s="88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2"/>
      <c r="GB3" s="88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2"/>
      <c r="GT3" s="88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2"/>
      <c r="HL3" s="88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2"/>
      <c r="ID3" s="88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2"/>
      <c r="IV3" s="88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2"/>
    </row>
    <row r="4" spans="1:273" ht="19.5" customHeight="1" thickBot="1" x14ac:dyDescent="0.25">
      <c r="A4" s="87"/>
      <c r="B4" s="127"/>
      <c r="C4" s="44">
        <v>18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115"/>
      <c r="BE4" s="118"/>
      <c r="BF4" s="114"/>
      <c r="BG4" s="115"/>
      <c r="BH4" s="116"/>
      <c r="BI4" s="117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7"/>
      <c r="BX4" s="93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7"/>
      <c r="CP4" s="93"/>
      <c r="CQ4" s="94"/>
      <c r="CR4" s="95"/>
      <c r="CS4" s="96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7"/>
      <c r="DH4" s="93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7"/>
      <c r="DZ4" s="93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7"/>
      <c r="ER4" s="93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7"/>
      <c r="FJ4" s="93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7"/>
      <c r="GB4" s="93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7"/>
      <c r="GT4" s="93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7"/>
      <c r="HL4" s="93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7"/>
      <c r="ID4" s="93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7"/>
      <c r="IV4" s="93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7"/>
    </row>
    <row r="5" spans="1:273" ht="19.5" customHeight="1" x14ac:dyDescent="0.2">
      <c r="B5" s="128" t="str">
        <f>Donnees!$C$21</f>
        <v>Analyse</v>
      </c>
      <c r="C5" s="98">
        <v>5</v>
      </c>
      <c r="D5" s="88"/>
      <c r="E5" s="89"/>
      <c r="F5" s="90"/>
      <c r="G5" s="91"/>
      <c r="H5" s="89"/>
      <c r="I5" s="90"/>
      <c r="J5" s="110"/>
      <c r="K5" s="108"/>
      <c r="L5" s="109"/>
      <c r="M5" s="110"/>
      <c r="N5" s="108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2"/>
      <c r="BX5" s="88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2"/>
      <c r="CP5" s="88"/>
      <c r="CQ5" s="89"/>
      <c r="CR5" s="90"/>
      <c r="CS5" s="91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2"/>
      <c r="DH5" s="88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2"/>
      <c r="DZ5" s="88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2"/>
      <c r="ER5" s="88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2"/>
      <c r="FJ5" s="88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2"/>
      <c r="GB5" s="88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2"/>
      <c r="GT5" s="88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2"/>
      <c r="HL5" s="88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2"/>
      <c r="ID5" s="88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2"/>
      <c r="IV5" s="88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2"/>
    </row>
    <row r="6" spans="1:273" ht="19.5" customHeight="1" thickBot="1" x14ac:dyDescent="0.25">
      <c r="B6" s="125"/>
      <c r="C6" s="99">
        <v>5</v>
      </c>
      <c r="D6" s="93"/>
      <c r="E6" s="94"/>
      <c r="F6" s="95"/>
      <c r="G6" s="96"/>
      <c r="H6" s="94"/>
      <c r="I6" s="95"/>
      <c r="J6" s="117"/>
      <c r="K6" s="115"/>
      <c r="L6" s="116"/>
      <c r="M6" s="117"/>
      <c r="N6" s="115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7"/>
      <c r="BX6" s="93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7"/>
      <c r="CP6" s="93"/>
      <c r="CQ6" s="94"/>
      <c r="CR6" s="95"/>
      <c r="CS6" s="96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7"/>
      <c r="DH6" s="93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7"/>
      <c r="DZ6" s="93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7"/>
      <c r="ER6" s="93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7"/>
      <c r="FJ6" s="93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7"/>
      <c r="GB6" s="93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7"/>
      <c r="GT6" s="93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7"/>
      <c r="HL6" s="93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7"/>
      <c r="ID6" s="93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7"/>
      <c r="IV6" s="93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7"/>
    </row>
    <row r="7" spans="1:273" ht="19.5" customHeight="1" x14ac:dyDescent="0.2">
      <c r="B7" s="124" t="str">
        <f>Donnees!$C$22</f>
        <v>Prise de connaissance du projet</v>
      </c>
      <c r="C7" s="98">
        <v>3</v>
      </c>
      <c r="D7" s="107"/>
      <c r="E7" s="108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2"/>
      <c r="V7" s="88"/>
      <c r="W7" s="89"/>
      <c r="X7" s="109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2"/>
      <c r="BX7" s="88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2"/>
      <c r="CP7" s="88"/>
      <c r="CQ7" s="89"/>
      <c r="CR7" s="90"/>
      <c r="CS7" s="91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2"/>
      <c r="DH7" s="88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2"/>
      <c r="DZ7" s="88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2"/>
      <c r="ER7" s="88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2"/>
      <c r="FJ7" s="88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2"/>
      <c r="GB7" s="88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2"/>
      <c r="GT7" s="88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2"/>
      <c r="HL7" s="88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2"/>
      <c r="ID7" s="88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2"/>
      <c r="IV7" s="88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2"/>
    </row>
    <row r="8" spans="1:273" ht="19.5" customHeight="1" thickBot="1" x14ac:dyDescent="0.25">
      <c r="B8" s="125"/>
      <c r="C8" s="99">
        <v>3</v>
      </c>
      <c r="D8" s="114"/>
      <c r="E8" s="115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7"/>
      <c r="V8" s="93"/>
      <c r="W8" s="94"/>
      <c r="X8" s="116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7"/>
      <c r="BX8" s="93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7"/>
      <c r="CP8" s="93"/>
      <c r="CQ8" s="94"/>
      <c r="CR8" s="95"/>
      <c r="CS8" s="96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7"/>
      <c r="DH8" s="93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7"/>
      <c r="DZ8" s="93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7"/>
      <c r="ER8" s="93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7"/>
      <c r="FJ8" s="93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7"/>
      <c r="GB8" s="93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7"/>
      <c r="GT8" s="93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7"/>
      <c r="HL8" s="93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7"/>
      <c r="ID8" s="93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7"/>
      <c r="IV8" s="93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7"/>
    </row>
    <row r="9" spans="1:273" ht="19.5" customHeight="1" x14ac:dyDescent="0.2">
      <c r="B9" s="124" t="str">
        <f>Donnees!$C$23</f>
        <v>Création des maquettes</v>
      </c>
      <c r="C9" s="98">
        <v>10</v>
      </c>
      <c r="D9" s="88"/>
      <c r="E9" s="89"/>
      <c r="F9" s="109"/>
      <c r="G9" s="110"/>
      <c r="H9" s="108"/>
      <c r="I9" s="109"/>
      <c r="J9" s="91"/>
      <c r="K9" s="89"/>
      <c r="L9" s="90"/>
      <c r="M9" s="91"/>
      <c r="N9" s="89"/>
      <c r="O9" s="90"/>
      <c r="P9" s="91"/>
      <c r="Q9" s="89"/>
      <c r="R9" s="109"/>
      <c r="S9" s="110"/>
      <c r="T9" s="108"/>
      <c r="U9" s="111"/>
      <c r="V9" s="107"/>
      <c r="W9" s="108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2"/>
      <c r="BX9" s="88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2"/>
      <c r="CP9" s="88"/>
      <c r="CQ9" s="89"/>
      <c r="CR9" s="90"/>
      <c r="CS9" s="91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2"/>
      <c r="DH9" s="88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2"/>
      <c r="DZ9" s="88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2"/>
      <c r="ER9" s="88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2"/>
      <c r="FJ9" s="88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2"/>
      <c r="GB9" s="88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2"/>
      <c r="GT9" s="88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2"/>
      <c r="HL9" s="88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2"/>
      <c r="ID9" s="88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2"/>
      <c r="IV9" s="88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2"/>
    </row>
    <row r="10" spans="1:273" ht="19.5" customHeight="1" thickBot="1" x14ac:dyDescent="0.25">
      <c r="B10" s="125"/>
      <c r="C10" s="99">
        <v>10</v>
      </c>
      <c r="D10" s="93"/>
      <c r="E10" s="94"/>
      <c r="F10" s="116"/>
      <c r="G10" s="117"/>
      <c r="H10" s="115"/>
      <c r="I10" s="116"/>
      <c r="J10" s="96"/>
      <c r="K10" s="94"/>
      <c r="L10" s="95"/>
      <c r="M10" s="96"/>
      <c r="N10" s="94"/>
      <c r="O10" s="95"/>
      <c r="P10" s="96"/>
      <c r="Q10" s="94"/>
      <c r="R10" s="116"/>
      <c r="S10" s="117"/>
      <c r="T10" s="115"/>
      <c r="U10" s="118"/>
      <c r="V10" s="114"/>
      <c r="W10" s="115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7"/>
      <c r="BX10" s="93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7"/>
      <c r="CP10" s="93"/>
      <c r="CQ10" s="94"/>
      <c r="CR10" s="95"/>
      <c r="CS10" s="96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7"/>
      <c r="DH10" s="93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7"/>
      <c r="DZ10" s="93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7"/>
      <c r="ER10" s="93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7"/>
      <c r="FJ10" s="93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7"/>
      <c r="GB10" s="93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7"/>
      <c r="GT10" s="93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7"/>
      <c r="HL10" s="93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7"/>
      <c r="ID10" s="93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7"/>
      <c r="IV10" s="93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7"/>
    </row>
    <row r="11" spans="1:273" ht="19.5" customHeight="1" x14ac:dyDescent="0.2">
      <c r="B11" s="124" t="str">
        <f>Donnees!$C$24</f>
        <v>Documentation</v>
      </c>
      <c r="C11" s="98">
        <v>42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109"/>
      <c r="AQ11" s="110"/>
      <c r="AR11" s="108"/>
      <c r="AS11" s="109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2"/>
      <c r="BX11" s="88"/>
      <c r="BY11" s="89"/>
      <c r="BZ11" s="109"/>
      <c r="CA11" s="110"/>
      <c r="CB11" s="108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2"/>
      <c r="CP11" s="88"/>
      <c r="CQ11" s="89"/>
      <c r="CR11" s="109"/>
      <c r="CS11" s="110"/>
      <c r="CT11" s="108"/>
      <c r="CU11" s="90"/>
      <c r="CV11" s="91"/>
      <c r="CW11" s="89"/>
      <c r="CX11" s="90"/>
      <c r="CY11" s="91"/>
      <c r="CZ11" s="89"/>
      <c r="DA11" s="90"/>
      <c r="DB11" s="91"/>
      <c r="DC11" s="89"/>
      <c r="DD11" s="109"/>
      <c r="DE11" s="110"/>
      <c r="DF11" s="89"/>
      <c r="DG11" s="92"/>
      <c r="DH11" s="88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2"/>
      <c r="DZ11" s="88"/>
      <c r="EA11" s="89"/>
      <c r="EB11" s="90"/>
      <c r="EC11" s="91"/>
      <c r="ED11" s="89"/>
      <c r="EE11" s="109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2"/>
      <c r="ER11" s="88"/>
      <c r="ES11" s="89"/>
      <c r="ET11" s="90"/>
      <c r="EU11" s="91"/>
      <c r="EV11" s="89"/>
      <c r="EW11" s="109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2"/>
      <c r="FJ11" s="88"/>
      <c r="FK11" s="89"/>
      <c r="FL11" s="90"/>
      <c r="FM11" s="110"/>
      <c r="FN11" s="108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2"/>
      <c r="GB11" s="88"/>
      <c r="GC11" s="89"/>
      <c r="GD11" s="90"/>
      <c r="GE11" s="91"/>
      <c r="GF11" s="108"/>
      <c r="GG11" s="90"/>
      <c r="GH11" s="91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2"/>
      <c r="GT11" s="88"/>
      <c r="GU11" s="89"/>
      <c r="GV11" s="90"/>
      <c r="GW11" s="91"/>
      <c r="GX11" s="108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2"/>
      <c r="HL11" s="88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108"/>
      <c r="HZ11" s="109"/>
      <c r="IA11" s="110"/>
      <c r="IB11" s="108"/>
      <c r="IC11" s="111"/>
      <c r="ID11" s="107"/>
      <c r="IE11" s="108"/>
      <c r="IF11" s="109"/>
      <c r="IG11" s="110"/>
      <c r="IH11" s="108"/>
      <c r="II11" s="90"/>
      <c r="IJ11" s="110"/>
      <c r="IK11" s="108"/>
      <c r="IL11" s="109"/>
      <c r="IM11" s="110"/>
      <c r="IN11" s="108"/>
      <c r="IO11" s="109"/>
      <c r="IP11" s="110"/>
      <c r="IQ11" s="108"/>
      <c r="IR11" s="109"/>
      <c r="IS11" s="110"/>
      <c r="IT11" s="108"/>
      <c r="IU11" s="111"/>
      <c r="IV11" s="88"/>
      <c r="IW11" s="89"/>
      <c r="IX11" s="90"/>
      <c r="IY11" s="91"/>
      <c r="IZ11" s="108"/>
      <c r="JA11" s="109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2"/>
    </row>
    <row r="12" spans="1:273" ht="19.5" customHeight="1" thickBot="1" x14ac:dyDescent="0.25">
      <c r="B12" s="125"/>
      <c r="C12" s="99">
        <v>4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114"/>
      <c r="AO12" s="115"/>
      <c r="AP12" s="116"/>
      <c r="AQ12" s="117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7"/>
      <c r="BX12" s="93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7"/>
      <c r="CP12" s="93"/>
      <c r="CQ12" s="94"/>
      <c r="CR12" s="95"/>
      <c r="CS12" s="96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7"/>
      <c r="DH12" s="93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7"/>
      <c r="DZ12" s="93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7"/>
      <c r="ER12" s="93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7"/>
      <c r="FJ12" s="93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7"/>
      <c r="GB12" s="93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7"/>
      <c r="GT12" s="93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7"/>
      <c r="HL12" s="93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7"/>
      <c r="ID12" s="93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7"/>
      <c r="IV12" s="93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7"/>
    </row>
    <row r="13" spans="1:273" ht="19.5" customHeight="1" x14ac:dyDescent="0.2">
      <c r="B13" s="124" t="str">
        <f>Donnees!$C$25</f>
        <v>Création de la planification</v>
      </c>
      <c r="C13" s="98">
        <v>3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110"/>
      <c r="Z13" s="108"/>
      <c r="AA13" s="109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2"/>
      <c r="BX13" s="88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2"/>
      <c r="CP13" s="88"/>
      <c r="CQ13" s="89"/>
      <c r="CR13" s="90"/>
      <c r="CS13" s="91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2"/>
      <c r="DH13" s="88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2"/>
      <c r="DZ13" s="88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2"/>
      <c r="ER13" s="88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2"/>
      <c r="FJ13" s="88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2"/>
      <c r="GB13" s="88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2"/>
      <c r="GT13" s="88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2"/>
      <c r="HL13" s="88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2"/>
      <c r="ID13" s="88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2"/>
      <c r="IV13" s="88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2"/>
    </row>
    <row r="14" spans="1:273" ht="19.5" customHeight="1" thickBot="1" x14ac:dyDescent="0.25">
      <c r="B14" s="125"/>
      <c r="C14" s="99">
        <v>3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117"/>
      <c r="Z14" s="115"/>
      <c r="AA14" s="116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7"/>
      <c r="BX14" s="93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7"/>
      <c r="CP14" s="93"/>
      <c r="CQ14" s="94"/>
      <c r="CR14" s="95"/>
      <c r="CS14" s="96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7"/>
      <c r="DH14" s="93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7"/>
      <c r="DZ14" s="93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7"/>
      <c r="ER14" s="93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7"/>
      <c r="FJ14" s="93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7"/>
      <c r="GB14" s="93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7"/>
      <c r="GT14" s="93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7"/>
      <c r="HL14" s="93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7"/>
      <c r="ID14" s="93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7"/>
      <c r="IV14" s="93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7"/>
    </row>
    <row r="15" spans="1:273" ht="19.5" customHeight="1" x14ac:dyDescent="0.2">
      <c r="B15" s="124" t="str">
        <f>Donnees!$C$26</f>
        <v>Mise en place du dépôt GitHub</v>
      </c>
      <c r="C15" s="98">
        <v>3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109"/>
      <c r="P15" s="110"/>
      <c r="Q15" s="108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2"/>
      <c r="BX15" s="88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2"/>
      <c r="CP15" s="88"/>
      <c r="CQ15" s="89"/>
      <c r="CR15" s="90"/>
      <c r="CS15" s="91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2"/>
      <c r="DH15" s="88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2"/>
      <c r="DZ15" s="88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2"/>
      <c r="ER15" s="88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2"/>
      <c r="FJ15" s="88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2"/>
      <c r="GB15" s="88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2"/>
      <c r="GT15" s="88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2"/>
      <c r="HL15" s="88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2"/>
      <c r="ID15" s="88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2"/>
      <c r="IV15" s="88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2"/>
    </row>
    <row r="16" spans="1:273" ht="19.5" customHeight="1" thickBot="1" x14ac:dyDescent="0.25">
      <c r="A16" s="100"/>
      <c r="B16" s="125"/>
      <c r="C16" s="99">
        <v>3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116"/>
      <c r="P16" s="117"/>
      <c r="Q16" s="115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7"/>
      <c r="BX16" s="93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7"/>
      <c r="CP16" s="93"/>
      <c r="CQ16" s="94"/>
      <c r="CR16" s="95"/>
      <c r="CS16" s="96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7"/>
      <c r="DH16" s="93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7"/>
      <c r="DZ16" s="93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7"/>
      <c r="ER16" s="93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7"/>
      <c r="FJ16" s="93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7"/>
      <c r="GB16" s="93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7"/>
      <c r="GT16" s="93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7"/>
      <c r="HL16" s="93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7"/>
      <c r="ID16" s="93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7"/>
      <c r="IV16" s="93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7"/>
    </row>
    <row r="17" spans="2:273" ht="19.5" customHeight="1" x14ac:dyDescent="0.2">
      <c r="B17" s="124" t="str">
        <f>Donnees!$C$27</f>
        <v>Création du layout</v>
      </c>
      <c r="C17" s="98">
        <v>0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2"/>
      <c r="V17" s="88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2"/>
      <c r="AN17" s="88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2"/>
      <c r="BF17" s="88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2"/>
      <c r="BX17" s="88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2"/>
      <c r="CP17" s="88"/>
      <c r="CQ17" s="89"/>
      <c r="CR17" s="90"/>
      <c r="CS17" s="91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2"/>
      <c r="DH17" s="88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2"/>
      <c r="DZ17" s="88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2"/>
      <c r="ER17" s="88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2"/>
      <c r="FJ17" s="88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2"/>
      <c r="GB17" s="88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2"/>
      <c r="GT17" s="88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2"/>
      <c r="HL17" s="88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2"/>
      <c r="ID17" s="88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2"/>
      <c r="IV17" s="88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2"/>
    </row>
    <row r="18" spans="2:273" ht="19.5" customHeight="1" thickBot="1" x14ac:dyDescent="0.25">
      <c r="B18" s="125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7"/>
      <c r="V18" s="93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7"/>
      <c r="AN18" s="93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7"/>
      <c r="BF18" s="93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7"/>
      <c r="BX18" s="93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7"/>
      <c r="CP18" s="93"/>
      <c r="CQ18" s="94"/>
      <c r="CR18" s="95"/>
      <c r="CS18" s="96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7"/>
      <c r="DH18" s="93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7"/>
      <c r="DZ18" s="93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7"/>
      <c r="ER18" s="93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7"/>
      <c r="FJ18" s="93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7"/>
      <c r="GB18" s="93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7"/>
      <c r="GT18" s="93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7"/>
      <c r="HL18" s="93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7"/>
      <c r="ID18" s="93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7"/>
      <c r="IV18" s="93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7"/>
    </row>
    <row r="19" spans="2:273" ht="19.5" customHeight="1" x14ac:dyDescent="0.2">
      <c r="B19" s="124" t="str">
        <f>Donnees!$C$28</f>
        <v>Création de la grille de test</v>
      </c>
      <c r="C19" s="98">
        <v>11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2"/>
      <c r="V19" s="88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2"/>
      <c r="AN19" s="88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2"/>
      <c r="BF19" s="88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2"/>
      <c r="BX19" s="88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2"/>
      <c r="CP19" s="88"/>
      <c r="CQ19" s="89"/>
      <c r="CR19" s="90"/>
      <c r="CS19" s="91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108"/>
      <c r="DG19" s="111"/>
      <c r="DH19" s="107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2"/>
      <c r="DZ19" s="88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2"/>
      <c r="ER19" s="88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109"/>
      <c r="FG19" s="91"/>
      <c r="FH19" s="89"/>
      <c r="FI19" s="92"/>
      <c r="FJ19" s="88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2"/>
      <c r="GB19" s="88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2"/>
      <c r="GT19" s="88"/>
      <c r="GU19" s="89"/>
      <c r="GV19" s="90"/>
      <c r="GW19" s="91"/>
      <c r="GX19" s="89"/>
      <c r="GY19" s="90"/>
      <c r="GZ19" s="110"/>
      <c r="HA19" s="108"/>
      <c r="HB19" s="109"/>
      <c r="HC19" s="110"/>
      <c r="HD19" s="108"/>
      <c r="HE19" s="90"/>
      <c r="HF19" s="91"/>
      <c r="HG19" s="89"/>
      <c r="HH19" s="90"/>
      <c r="HI19" s="91"/>
      <c r="HJ19" s="89"/>
      <c r="HK19" s="92"/>
      <c r="HL19" s="88"/>
      <c r="HM19" s="89"/>
      <c r="HN19" s="90"/>
      <c r="HO19" s="91"/>
      <c r="HP19" s="89"/>
      <c r="HQ19" s="90"/>
      <c r="HR19" s="110"/>
      <c r="HS19" s="108"/>
      <c r="HT19" s="90"/>
      <c r="HU19" s="91"/>
      <c r="HV19" s="89"/>
      <c r="HW19" s="90"/>
      <c r="HX19" s="91"/>
      <c r="HY19" s="89"/>
      <c r="HZ19" s="90"/>
      <c r="IA19" s="91"/>
      <c r="IB19" s="89"/>
      <c r="IC19" s="92"/>
      <c r="ID19" s="88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2"/>
      <c r="IV19" s="88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2"/>
    </row>
    <row r="20" spans="2:273" ht="19.5" customHeight="1" thickBot="1" x14ac:dyDescent="0.25">
      <c r="B20" s="125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7"/>
      <c r="V20" s="93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7"/>
      <c r="AN20" s="93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7"/>
      <c r="BF20" s="93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7"/>
      <c r="BX20" s="93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7"/>
      <c r="CP20" s="93"/>
      <c r="CQ20" s="94"/>
      <c r="CR20" s="95"/>
      <c r="CS20" s="96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7"/>
      <c r="DH20" s="93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7"/>
      <c r="DZ20" s="93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7"/>
      <c r="ER20" s="93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7"/>
      <c r="FJ20" s="93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7"/>
      <c r="GB20" s="93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7"/>
      <c r="GT20" s="93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7"/>
      <c r="HL20" s="93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7"/>
      <c r="ID20" s="93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7"/>
      <c r="IV20" s="93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7"/>
    </row>
    <row r="21" spans="2:273" ht="19.5" customHeight="1" x14ac:dyDescent="0.2">
      <c r="B21" s="124" t="str">
        <f>Donnees!$C$29</f>
        <v>Tests</v>
      </c>
      <c r="C21" s="98">
        <v>11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2"/>
      <c r="V21" s="88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2"/>
      <c r="AN21" s="88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2"/>
      <c r="BF21" s="88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2"/>
      <c r="BX21" s="88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2"/>
      <c r="CP21" s="88"/>
      <c r="CQ21" s="89"/>
      <c r="CR21" s="90"/>
      <c r="CS21" s="91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2"/>
      <c r="DH21" s="88"/>
      <c r="DI21" s="108"/>
      <c r="DJ21" s="109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2"/>
      <c r="DZ21" s="88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2"/>
      <c r="ER21" s="88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110"/>
      <c r="FH21" s="108"/>
      <c r="FI21" s="92"/>
      <c r="FJ21" s="88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2"/>
      <c r="GB21" s="88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2"/>
      <c r="GT21" s="88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109"/>
      <c r="HF21" s="110"/>
      <c r="HG21" s="108"/>
      <c r="HH21" s="109"/>
      <c r="HI21" s="110"/>
      <c r="HJ21" s="89"/>
      <c r="HK21" s="92"/>
      <c r="HL21" s="88"/>
      <c r="HM21" s="89"/>
      <c r="HN21" s="90"/>
      <c r="HO21" s="91"/>
      <c r="HP21" s="89"/>
      <c r="HQ21" s="90"/>
      <c r="HR21" s="91"/>
      <c r="HS21" s="89"/>
      <c r="HT21" s="109"/>
      <c r="HU21" s="110"/>
      <c r="HV21" s="89"/>
      <c r="HW21" s="90"/>
      <c r="HX21" s="91"/>
      <c r="HY21" s="89"/>
      <c r="HZ21" s="90"/>
      <c r="IA21" s="91"/>
      <c r="IB21" s="89"/>
      <c r="IC21" s="92"/>
      <c r="ID21" s="88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2"/>
      <c r="IV21" s="88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2"/>
    </row>
    <row r="22" spans="2:273" ht="19.5" customHeight="1" thickBot="1" x14ac:dyDescent="0.25">
      <c r="B22" s="125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7"/>
      <c r="V22" s="93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7"/>
      <c r="AN22" s="93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7"/>
      <c r="BF22" s="93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7"/>
      <c r="BX22" s="93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7"/>
      <c r="CP22" s="93"/>
      <c r="CQ22" s="94"/>
      <c r="CR22" s="95"/>
      <c r="CS22" s="96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7"/>
      <c r="DH22" s="93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7"/>
      <c r="DZ22" s="93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7"/>
      <c r="ER22" s="93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7"/>
      <c r="FJ22" s="93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7"/>
      <c r="GB22" s="93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7"/>
      <c r="GT22" s="93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7"/>
      <c r="HL22" s="93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7"/>
      <c r="ID22" s="93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7"/>
      <c r="IV22" s="93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7"/>
    </row>
    <row r="23" spans="2:273" ht="19.5" customHeight="1" x14ac:dyDescent="0.2">
      <c r="B23" s="124" t="str">
        <f>Donnees!$C$30</f>
        <v>Edition du journal de travail</v>
      </c>
      <c r="C23" s="98">
        <v>14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2"/>
      <c r="V23" s="88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108"/>
      <c r="AM23" s="92"/>
      <c r="AN23" s="88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2"/>
      <c r="BF23" s="88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2"/>
      <c r="BX23" s="88"/>
      <c r="BY23" s="89"/>
      <c r="BZ23" s="90"/>
      <c r="CA23" s="91"/>
      <c r="CB23" s="89"/>
      <c r="CC23" s="109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2"/>
      <c r="CP23" s="88"/>
      <c r="CQ23" s="89"/>
      <c r="CR23" s="90"/>
      <c r="CS23" s="91"/>
      <c r="CT23" s="89"/>
      <c r="CU23" s="109"/>
      <c r="CV23" s="91"/>
      <c r="CW23" s="89"/>
      <c r="CX23" s="90"/>
      <c r="CY23" s="91"/>
      <c r="CZ23" s="89"/>
      <c r="DA23" s="90"/>
      <c r="DB23" s="91"/>
      <c r="DC23" s="108"/>
      <c r="DD23" s="90"/>
      <c r="DE23" s="91"/>
      <c r="DF23" s="89"/>
      <c r="DG23" s="92"/>
      <c r="DH23" s="88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2"/>
      <c r="DZ23" s="88"/>
      <c r="EA23" s="89"/>
      <c r="EB23" s="90"/>
      <c r="EC23" s="91"/>
      <c r="ED23" s="108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2"/>
      <c r="ER23" s="88"/>
      <c r="ES23" s="89"/>
      <c r="ET23" s="90"/>
      <c r="EU23" s="91"/>
      <c r="EV23" s="108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2"/>
      <c r="FJ23" s="88"/>
      <c r="FK23" s="89"/>
      <c r="FL23" s="90"/>
      <c r="FM23" s="91"/>
      <c r="FN23" s="89"/>
      <c r="FO23" s="109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2"/>
      <c r="GB23" s="88"/>
      <c r="GC23" s="89"/>
      <c r="GD23" s="90"/>
      <c r="GE23" s="91"/>
      <c r="GF23" s="89"/>
      <c r="GG23" s="109"/>
      <c r="GH23" s="91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2"/>
      <c r="GT23" s="88"/>
      <c r="GU23" s="89"/>
      <c r="GV23" s="90"/>
      <c r="GW23" s="91"/>
      <c r="GX23" s="89"/>
      <c r="GY23" s="109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2"/>
      <c r="HL23" s="88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2"/>
      <c r="ID23" s="88"/>
      <c r="IE23" s="89"/>
      <c r="IF23" s="90"/>
      <c r="IG23" s="91"/>
      <c r="IH23" s="89"/>
      <c r="II23" s="109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2"/>
      <c r="IV23" s="107"/>
      <c r="IW23" s="108"/>
      <c r="IX23" s="109"/>
      <c r="IY23" s="110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2"/>
    </row>
    <row r="24" spans="2:273" ht="19.5" customHeight="1" thickBot="1" x14ac:dyDescent="0.25">
      <c r="B24" s="125"/>
      <c r="C24" s="99">
        <v>1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7"/>
      <c r="V24" s="93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115"/>
      <c r="AM24" s="97"/>
      <c r="AN24" s="93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7"/>
      <c r="BF24" s="93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7"/>
      <c r="BX24" s="93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7"/>
      <c r="CP24" s="93"/>
      <c r="CQ24" s="94"/>
      <c r="CR24" s="95"/>
      <c r="CS24" s="96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7"/>
      <c r="DH24" s="93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7"/>
      <c r="DZ24" s="93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7"/>
      <c r="ER24" s="93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7"/>
      <c r="FJ24" s="93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7"/>
      <c r="GB24" s="93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7"/>
      <c r="GT24" s="93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7"/>
      <c r="HL24" s="93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7"/>
      <c r="ID24" s="93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7"/>
      <c r="IV24" s="93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7"/>
    </row>
    <row r="25" spans="2:273" ht="19.5" customHeight="1" x14ac:dyDescent="0.2">
      <c r="B25" s="124" t="str">
        <f>Donnees!$C$31</f>
        <v>Développement de l'application</v>
      </c>
      <c r="C25" s="98">
        <v>21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2"/>
      <c r="V25" s="88"/>
      <c r="W25" s="89"/>
      <c r="X25" s="90"/>
      <c r="Y25" s="91"/>
      <c r="Z25" s="89"/>
      <c r="AA25" s="90"/>
      <c r="AB25" s="110"/>
      <c r="AC25" s="108"/>
      <c r="AD25" s="109"/>
      <c r="AE25" s="110"/>
      <c r="AF25" s="108"/>
      <c r="AG25" s="109"/>
      <c r="AH25" s="110"/>
      <c r="AI25" s="108"/>
      <c r="AJ25" s="109"/>
      <c r="AK25" s="110"/>
      <c r="AL25" s="89"/>
      <c r="AM25" s="92"/>
      <c r="AN25" s="88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2"/>
      <c r="BF25" s="88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2"/>
      <c r="BX25" s="88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2"/>
      <c r="CP25" s="88"/>
      <c r="CQ25" s="89"/>
      <c r="CR25" s="90"/>
      <c r="CS25" s="91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2"/>
      <c r="DH25" s="88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2"/>
      <c r="DZ25" s="88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2"/>
      <c r="ER25" s="88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2"/>
      <c r="FJ25" s="88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2"/>
      <c r="GB25" s="88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2"/>
      <c r="GT25" s="88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108"/>
      <c r="HK25" s="111"/>
      <c r="HL25" s="107"/>
      <c r="HM25" s="108"/>
      <c r="HN25" s="109"/>
      <c r="HO25" s="110"/>
      <c r="HP25" s="108"/>
      <c r="HQ25" s="109"/>
      <c r="HR25" s="91"/>
      <c r="HS25" s="89"/>
      <c r="HT25" s="90"/>
      <c r="HU25" s="91"/>
      <c r="HV25" s="108"/>
      <c r="HW25" s="109"/>
      <c r="HX25" s="110"/>
      <c r="HY25" s="89"/>
      <c r="HZ25" s="90"/>
      <c r="IA25" s="91"/>
      <c r="IB25" s="89"/>
      <c r="IC25" s="92"/>
      <c r="ID25" s="88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2"/>
      <c r="IV25" s="88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2"/>
    </row>
    <row r="26" spans="2:273" ht="19.5" customHeight="1" thickBot="1" x14ac:dyDescent="0.25">
      <c r="B26" s="125"/>
      <c r="C26" s="99">
        <v>10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7"/>
      <c r="V26" s="93"/>
      <c r="W26" s="94"/>
      <c r="X26" s="95"/>
      <c r="Y26" s="96"/>
      <c r="Z26" s="94"/>
      <c r="AA26" s="95"/>
      <c r="AB26" s="117"/>
      <c r="AC26" s="115"/>
      <c r="AD26" s="116"/>
      <c r="AE26" s="117"/>
      <c r="AF26" s="115"/>
      <c r="AG26" s="116"/>
      <c r="AH26" s="117"/>
      <c r="AI26" s="115"/>
      <c r="AJ26" s="116"/>
      <c r="AK26" s="117"/>
      <c r="AL26" s="94"/>
      <c r="AM26" s="97"/>
      <c r="AN26" s="93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7"/>
      <c r="BF26" s="93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7"/>
      <c r="BX26" s="93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7"/>
      <c r="CP26" s="93"/>
      <c r="CQ26" s="94"/>
      <c r="CR26" s="95"/>
      <c r="CS26" s="96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7"/>
      <c r="DH26" s="93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7"/>
      <c r="DZ26" s="93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7"/>
      <c r="ER26" s="93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7"/>
      <c r="FJ26" s="93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7"/>
      <c r="GB26" s="93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7"/>
      <c r="GT26" s="93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7"/>
      <c r="HL26" s="93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7"/>
      <c r="ID26" s="93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7"/>
      <c r="IV26" s="93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7"/>
    </row>
    <row r="27" spans="2:273" ht="19.5" customHeight="1" x14ac:dyDescent="0.2">
      <c r="B27" s="124" t="str">
        <f>Donnees!$C$32</f>
        <v>Développement de la fonction de recherche</v>
      </c>
      <c r="C27" s="98">
        <v>41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2"/>
      <c r="V27" s="88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111"/>
      <c r="AN27" s="107"/>
      <c r="AO27" s="108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2"/>
      <c r="BF27" s="88"/>
      <c r="BG27" s="89"/>
      <c r="BH27" s="90"/>
      <c r="BI27" s="91"/>
      <c r="BJ27" s="89"/>
      <c r="BK27" s="90"/>
      <c r="BL27" s="110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11"/>
      <c r="BX27" s="107"/>
      <c r="BY27" s="108"/>
      <c r="BZ27" s="90"/>
      <c r="CA27" s="91"/>
      <c r="CB27" s="89"/>
      <c r="CC27" s="90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90"/>
      <c r="CS27" s="91"/>
      <c r="CT27" s="89"/>
      <c r="CU27" s="90"/>
      <c r="CV27" s="110"/>
      <c r="CW27" s="108"/>
      <c r="CX27" s="109"/>
      <c r="CY27" s="110"/>
      <c r="CZ27" s="108"/>
      <c r="DA27" s="109"/>
      <c r="DB27" s="110"/>
      <c r="DC27" s="89"/>
      <c r="DD27" s="90"/>
      <c r="DE27" s="91"/>
      <c r="DF27" s="89"/>
      <c r="DG27" s="92"/>
      <c r="DH27" s="88"/>
      <c r="DI27" s="89"/>
      <c r="DJ27" s="90"/>
      <c r="DK27" s="110"/>
      <c r="DL27" s="108"/>
      <c r="DM27" s="109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2"/>
      <c r="DZ27" s="88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2"/>
      <c r="ER27" s="88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2"/>
      <c r="FJ27" s="88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2"/>
      <c r="GB27" s="88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2"/>
      <c r="GT27" s="88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2"/>
      <c r="HL27" s="88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2"/>
      <c r="ID27" s="88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2"/>
      <c r="IV27" s="88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2"/>
    </row>
    <row r="28" spans="2:273" ht="19.5" customHeight="1" thickBot="1" x14ac:dyDescent="0.25">
      <c r="B28" s="125"/>
      <c r="C28" s="99">
        <v>1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7"/>
      <c r="V28" s="93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118"/>
      <c r="AN28" s="93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7"/>
      <c r="BF28" s="93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7"/>
      <c r="BX28" s="93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7"/>
      <c r="CP28" s="93"/>
      <c r="CQ28" s="94"/>
      <c r="CR28" s="95"/>
      <c r="CS28" s="96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7"/>
      <c r="DH28" s="93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7"/>
      <c r="DZ28" s="93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7"/>
      <c r="ER28" s="93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7"/>
      <c r="FJ28" s="93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7"/>
      <c r="GB28" s="93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7"/>
      <c r="GT28" s="93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7"/>
      <c r="HL28" s="93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7"/>
      <c r="ID28" s="93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7"/>
      <c r="IV28" s="93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7"/>
    </row>
    <row r="29" spans="2:273" ht="19.5" customHeight="1" x14ac:dyDescent="0.2">
      <c r="B29" s="124" t="str">
        <f>Donnees!$C$33</f>
        <v>Développement de la prévisualisation</v>
      </c>
      <c r="C29" s="98">
        <v>32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2"/>
      <c r="V29" s="88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2"/>
      <c r="AN29" s="88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2"/>
      <c r="BF29" s="88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2"/>
      <c r="BX29" s="88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2"/>
      <c r="CP29" s="88"/>
      <c r="CQ29" s="89"/>
      <c r="CR29" s="90"/>
      <c r="CS29" s="91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2"/>
      <c r="DH29" s="88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2"/>
      <c r="DZ29" s="88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2"/>
      <c r="ER29" s="88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2"/>
      <c r="FJ29" s="88"/>
      <c r="FK29" s="89"/>
      <c r="FL29" s="90"/>
      <c r="FM29" s="91"/>
      <c r="FN29" s="89"/>
      <c r="FO29" s="90"/>
      <c r="FP29" s="110"/>
      <c r="FQ29" s="108"/>
      <c r="FR29" s="109"/>
      <c r="FS29" s="110"/>
      <c r="FT29" s="108"/>
      <c r="FU29" s="109"/>
      <c r="FV29" s="110"/>
      <c r="FW29" s="108"/>
      <c r="FX29" s="109"/>
      <c r="FY29" s="110"/>
      <c r="FZ29" s="108"/>
      <c r="GA29" s="111"/>
      <c r="GB29" s="107"/>
      <c r="GC29" s="108"/>
      <c r="GD29" s="109"/>
      <c r="GE29" s="110"/>
      <c r="GF29" s="89"/>
      <c r="GG29" s="90"/>
      <c r="GH29" s="110"/>
      <c r="GI29" s="108"/>
      <c r="GJ29" s="109"/>
      <c r="GK29" s="110"/>
      <c r="GL29" s="108"/>
      <c r="GM29" s="109"/>
      <c r="GN29" s="110"/>
      <c r="GO29" s="108"/>
      <c r="GP29" s="109"/>
      <c r="GQ29" s="110"/>
      <c r="GR29" s="108"/>
      <c r="GS29" s="111"/>
      <c r="GT29" s="107"/>
      <c r="GU29" s="108"/>
      <c r="GV29" s="109"/>
      <c r="GW29" s="110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2"/>
      <c r="HL29" s="88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2"/>
      <c r="ID29" s="88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2"/>
      <c r="IV29" s="88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2"/>
    </row>
    <row r="30" spans="2:273" ht="19.5" customHeight="1" thickBot="1" x14ac:dyDescent="0.25">
      <c r="B30" s="125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7"/>
      <c r="V30" s="93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7"/>
      <c r="AN30" s="93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7"/>
      <c r="BF30" s="93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7"/>
      <c r="BX30" s="93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7"/>
      <c r="CP30" s="93"/>
      <c r="CQ30" s="94"/>
      <c r="CR30" s="95"/>
      <c r="CS30" s="96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7"/>
      <c r="DH30" s="93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7"/>
      <c r="DZ30" s="93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7"/>
      <c r="ER30" s="93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7"/>
      <c r="FJ30" s="93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7"/>
      <c r="GB30" s="93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7"/>
      <c r="GT30" s="93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7"/>
      <c r="HL30" s="93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7"/>
      <c r="ID30" s="93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7"/>
      <c r="IV30" s="93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7"/>
    </row>
    <row r="31" spans="2:273" ht="19.5" customHeight="1" x14ac:dyDescent="0.2">
      <c r="B31" s="124" t="str">
        <f>Donnees!$C$34</f>
        <v>Développement de la liste de résultats</v>
      </c>
      <c r="C31" s="98">
        <v>44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2"/>
      <c r="V31" s="88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2"/>
      <c r="AN31" s="88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2"/>
      <c r="BF31" s="88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2"/>
      <c r="BX31" s="88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2"/>
      <c r="CP31" s="88"/>
      <c r="CQ31" s="89"/>
      <c r="CR31" s="90"/>
      <c r="CS31" s="91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2"/>
      <c r="DH31" s="88"/>
      <c r="DI31" s="89"/>
      <c r="DJ31" s="90"/>
      <c r="DK31" s="91"/>
      <c r="DL31" s="89"/>
      <c r="DM31" s="90"/>
      <c r="DN31" s="110"/>
      <c r="DO31" s="108"/>
      <c r="DP31" s="109"/>
      <c r="DQ31" s="110"/>
      <c r="DR31" s="108"/>
      <c r="DS31" s="109"/>
      <c r="DT31" s="110"/>
      <c r="DU31" s="108"/>
      <c r="DV31" s="109"/>
      <c r="DW31" s="110"/>
      <c r="DX31" s="108"/>
      <c r="DY31" s="111"/>
      <c r="DZ31" s="107"/>
      <c r="EA31" s="108"/>
      <c r="EB31" s="109"/>
      <c r="EC31" s="110"/>
      <c r="ED31" s="89"/>
      <c r="EE31" s="90"/>
      <c r="EF31" s="110"/>
      <c r="EG31" s="108"/>
      <c r="EH31" s="109"/>
      <c r="EI31" s="110"/>
      <c r="EJ31" s="108"/>
      <c r="EK31" s="109"/>
      <c r="EL31" s="110"/>
      <c r="EM31" s="108"/>
      <c r="EN31" s="109"/>
      <c r="EO31" s="110"/>
      <c r="EP31" s="108"/>
      <c r="EQ31" s="111"/>
      <c r="ER31" s="107"/>
      <c r="ES31" s="108"/>
      <c r="ET31" s="109"/>
      <c r="EU31" s="110"/>
      <c r="EV31" s="89"/>
      <c r="EW31" s="90"/>
      <c r="EX31" s="110"/>
      <c r="EY31" s="108"/>
      <c r="EZ31" s="109"/>
      <c r="FA31" s="110"/>
      <c r="FB31" s="108"/>
      <c r="FC31" s="109"/>
      <c r="FD31" s="110"/>
      <c r="FE31" s="108"/>
      <c r="FF31" s="90"/>
      <c r="FG31" s="91"/>
      <c r="FH31" s="89"/>
      <c r="FI31" s="111"/>
      <c r="FJ31" s="107"/>
      <c r="FK31" s="108"/>
      <c r="FL31" s="109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2"/>
      <c r="GB31" s="88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0"/>
      <c r="GN31" s="91"/>
      <c r="GO31" s="89"/>
      <c r="GP31" s="90"/>
      <c r="GQ31" s="91"/>
      <c r="GR31" s="89"/>
      <c r="GS31" s="92"/>
      <c r="GT31" s="88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2"/>
      <c r="HL31" s="88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2"/>
      <c r="ID31" s="88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2"/>
      <c r="IV31" s="88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2"/>
    </row>
    <row r="32" spans="2:273" ht="19.5" customHeight="1" x14ac:dyDescent="0.2">
      <c r="B32" s="125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7"/>
      <c r="V32" s="93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7"/>
      <c r="AN32" s="93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7"/>
      <c r="BF32" s="93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7"/>
      <c r="BX32" s="93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7"/>
      <c r="CP32" s="93"/>
      <c r="CQ32" s="94"/>
      <c r="CR32" s="95"/>
      <c r="CS32" s="96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7"/>
      <c r="DH32" s="93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7"/>
      <c r="DZ32" s="93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7"/>
      <c r="ER32" s="93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7"/>
      <c r="FJ32" s="93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7"/>
      <c r="GB32" s="93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7"/>
      <c r="GT32" s="93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7"/>
      <c r="HL32" s="93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7"/>
      <c r="ID32" s="93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7"/>
      <c r="IV32" s="93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7"/>
    </row>
    <row r="33" spans="2:273" ht="19.5" customHeight="1" x14ac:dyDescent="0.2">
      <c r="B33" s="47" t="s">
        <v>16</v>
      </c>
      <c r="C33" s="49">
        <f>SUM($C$3,$C$5,$C$7,$C$9,$C$11,$C$13,$C$15,$C$17,$C$19,$C$21,$C$23,$C$25,$C$27,$C$29,$C$31)</f>
        <v>258</v>
      </c>
      <c r="D33" s="101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1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3"/>
      <c r="AN33" s="101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3"/>
      <c r="BF33" s="101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3"/>
      <c r="BX33" s="101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3"/>
      <c r="CP33" s="101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3"/>
      <c r="DH33" s="101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3"/>
      <c r="DZ33" s="101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3"/>
      <c r="ER33" s="101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3"/>
      <c r="FJ33" s="101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3"/>
      <c r="GB33" s="101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3"/>
      <c r="GT33" s="101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3"/>
      <c r="HL33" s="101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3"/>
      <c r="ID33" s="101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3"/>
      <c r="IV33" s="101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3"/>
    </row>
    <row r="34" spans="2:273" ht="19.5" customHeight="1" thickBot="1" x14ac:dyDescent="0.25">
      <c r="B34" s="48" t="s">
        <v>17</v>
      </c>
      <c r="C34" s="50">
        <f>SUM($C$4,$C$6,$C$8,$C$10,$C$12,$C$14,$C$16,$C$18,$C$20,$C$22,$C$24,$C$26,$C$28,$C$30,$C$32)</f>
        <v>58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6"/>
      <c r="V34" s="104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6"/>
      <c r="AN34" s="104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6"/>
      <c r="BF34" s="104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6"/>
      <c r="BX34" s="104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6"/>
      <c r="CP34" s="104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6"/>
      <c r="DH34" s="104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6"/>
      <c r="DZ34" s="104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6"/>
      <c r="ER34" s="104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6"/>
      <c r="FJ34" s="104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6"/>
      <c r="GB34" s="104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6"/>
      <c r="GT34" s="104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6"/>
      <c r="HL34" s="104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6"/>
      <c r="ID34" s="104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6"/>
      <c r="IV34" s="104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6"/>
    </row>
  </sheetData>
  <sheetProtection sheet="1" objects="1" scenarios="1" insertRows="0" selectLockedCells="1"/>
  <mergeCells count="30">
    <mergeCell ref="IV2:JM2"/>
    <mergeCell ref="BF2:BW2"/>
    <mergeCell ref="BX2:CO2"/>
    <mergeCell ref="CP2:DG2"/>
    <mergeCell ref="DH2:DY2"/>
    <mergeCell ref="DZ2:EQ2"/>
    <mergeCell ref="ER2:FI2"/>
    <mergeCell ref="FJ2:GA2"/>
    <mergeCell ref="GB2:GS2"/>
    <mergeCell ref="GT2:HK2"/>
    <mergeCell ref="HL2:IC2"/>
    <mergeCell ref="ID2:IU2"/>
    <mergeCell ref="B27:B28"/>
    <mergeCell ref="B29:B30"/>
    <mergeCell ref="B31:B32"/>
    <mergeCell ref="D2:U2"/>
    <mergeCell ref="V2:AM2"/>
    <mergeCell ref="B23:B24"/>
    <mergeCell ref="B25:B26"/>
    <mergeCell ref="AN2:BE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17"/>
  <sheetViews>
    <sheetView view="pageBreakPreview" topLeftCell="A61" zoomScale="115" zoomScaleNormal="100" zoomScaleSheetLayoutView="115" workbookViewId="0">
      <selection activeCell="A114" sqref="A1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27" x14ac:dyDescent="0.2">
      <c r="A3" s="9" t="s">
        <v>27</v>
      </c>
      <c r="B3" s="8">
        <v>2</v>
      </c>
      <c r="C3" s="13" t="s">
        <v>65</v>
      </c>
      <c r="D3" s="13"/>
    </row>
    <row r="4" spans="1:9" s="81" customFormat="1" ht="27" x14ac:dyDescent="0.2">
      <c r="A4" s="5" t="s">
        <v>58</v>
      </c>
      <c r="B4" s="6">
        <v>4</v>
      </c>
      <c r="C4" s="14" t="s">
        <v>59</v>
      </c>
      <c r="D4" s="14"/>
    </row>
    <row r="5" spans="1:9" s="81" customFormat="1" ht="27" x14ac:dyDescent="0.2">
      <c r="A5" s="5" t="s">
        <v>25</v>
      </c>
      <c r="B5" s="6">
        <v>4</v>
      </c>
      <c r="C5" s="14" t="s">
        <v>60</v>
      </c>
      <c r="D5" s="14"/>
    </row>
    <row r="6" spans="1:9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9" s="81" customFormat="1" ht="27.75" thickBot="1" x14ac:dyDescent="0.25">
      <c r="A7" s="5" t="s">
        <v>31</v>
      </c>
      <c r="B7" s="6">
        <v>3</v>
      </c>
      <c r="C7" s="14" t="s">
        <v>67</v>
      </c>
      <c r="D7" s="14"/>
    </row>
    <row r="8" spans="1:9" ht="14.25" thickBot="1" x14ac:dyDescent="0.25">
      <c r="A8" s="16" t="s">
        <v>22</v>
      </c>
      <c r="B8" s="16">
        <f>SUM(B3:B7)</f>
        <v>18</v>
      </c>
      <c r="C8" s="83" t="s">
        <v>48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14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27" x14ac:dyDescent="0.2">
      <c r="A12" s="9" t="s">
        <v>25</v>
      </c>
      <c r="B12" s="8">
        <v>6</v>
      </c>
      <c r="C12" s="13" t="s">
        <v>61</v>
      </c>
      <c r="D12" s="13"/>
    </row>
    <row r="13" spans="1:9" ht="27" x14ac:dyDescent="0.2">
      <c r="A13" s="5" t="s">
        <v>58</v>
      </c>
      <c r="B13" s="6">
        <v>8</v>
      </c>
      <c r="C13" s="14" t="s">
        <v>63</v>
      </c>
      <c r="D13" s="14"/>
    </row>
    <row r="14" spans="1:9" ht="27" x14ac:dyDescent="0.2">
      <c r="A14" s="5" t="s">
        <v>27</v>
      </c>
      <c r="B14" s="6">
        <v>1</v>
      </c>
      <c r="C14" s="14" t="s">
        <v>62</v>
      </c>
      <c r="D14" s="14"/>
      <c r="E14" s="37"/>
      <c r="F14" s="37"/>
      <c r="G14" s="37"/>
      <c r="H14" s="37"/>
      <c r="I14" s="37"/>
    </row>
    <row r="15" spans="1:9" ht="12.75" customHeight="1" thickBot="1" x14ac:dyDescent="0.25">
      <c r="A15" s="5" t="s">
        <v>42</v>
      </c>
      <c r="B15" s="6">
        <v>3</v>
      </c>
      <c r="C15" s="14" t="s">
        <v>69</v>
      </c>
      <c r="D15" s="14"/>
      <c r="E15" s="37"/>
      <c r="F15" s="54"/>
      <c r="G15" s="55"/>
      <c r="H15" s="56"/>
      <c r="I15" s="37"/>
    </row>
    <row r="16" spans="1:9" ht="14.25" thickBot="1" x14ac:dyDescent="0.25">
      <c r="A16" s="16" t="s">
        <v>22</v>
      </c>
      <c r="B16" s="16">
        <f>SUM(B12:B15)</f>
        <v>18</v>
      </c>
      <c r="C16" s="83" t="s">
        <v>48</v>
      </c>
      <c r="D16" s="17"/>
      <c r="E16" s="37"/>
      <c r="F16" s="59"/>
      <c r="G16" s="60"/>
      <c r="H16" s="60"/>
      <c r="I16" s="37"/>
    </row>
    <row r="17" spans="1:9" ht="15" thickBot="1" x14ac:dyDescent="0.35">
      <c r="A17" s="18"/>
      <c r="B17" s="18"/>
      <c r="C17" s="18"/>
      <c r="D17" s="18"/>
      <c r="E17" s="37"/>
      <c r="F17" s="59"/>
      <c r="G17" s="60"/>
      <c r="H17" s="60"/>
      <c r="I17" s="37"/>
    </row>
    <row r="18" spans="1:9" ht="18.75" thickBot="1" x14ac:dyDescent="0.25">
      <c r="A18" s="10" t="s">
        <v>14</v>
      </c>
      <c r="B18" s="11">
        <v>3</v>
      </c>
      <c r="C18" s="31"/>
      <c r="D18" s="33"/>
      <c r="E18" s="37"/>
      <c r="F18" s="59"/>
      <c r="G18" s="60"/>
      <c r="H18" s="60"/>
      <c r="I18" s="37"/>
    </row>
    <row r="19" spans="1:9" ht="27.75" thickBot="1" x14ac:dyDescent="0.25">
      <c r="A19" s="12" t="s">
        <v>3</v>
      </c>
      <c r="B19" s="32" t="s">
        <v>15</v>
      </c>
      <c r="C19" s="12" t="s">
        <v>7</v>
      </c>
      <c r="D19" s="12" t="s">
        <v>13</v>
      </c>
      <c r="E19" s="37"/>
      <c r="F19" s="61"/>
      <c r="G19" s="62"/>
      <c r="H19" s="62"/>
      <c r="I19" s="37"/>
    </row>
    <row r="20" spans="1:9" ht="27" x14ac:dyDescent="0.3">
      <c r="A20" s="9" t="s">
        <v>44</v>
      </c>
      <c r="B20" s="8">
        <v>10</v>
      </c>
      <c r="C20" s="13" t="s">
        <v>68</v>
      </c>
      <c r="D20" s="13"/>
      <c r="E20" s="37"/>
      <c r="F20" s="63"/>
      <c r="G20" s="63"/>
      <c r="H20" s="63"/>
      <c r="I20" s="37"/>
    </row>
    <row r="21" spans="1:9" ht="27" x14ac:dyDescent="0.2">
      <c r="A21" s="5" t="s">
        <v>43</v>
      </c>
      <c r="B21" s="6">
        <v>1</v>
      </c>
      <c r="C21" s="14" t="s">
        <v>70</v>
      </c>
      <c r="D21" s="14"/>
      <c r="E21" s="37"/>
      <c r="F21" s="37"/>
      <c r="G21" s="37"/>
      <c r="H21" s="37"/>
      <c r="I21" s="37"/>
    </row>
    <row r="22" spans="1:9" ht="40.5" x14ac:dyDescent="0.2">
      <c r="A22" s="5" t="s">
        <v>45</v>
      </c>
      <c r="B22" s="6">
        <v>3</v>
      </c>
      <c r="C22" s="14" t="s">
        <v>79</v>
      </c>
      <c r="D22" s="14"/>
      <c r="E22" s="37"/>
      <c r="F22" s="37"/>
      <c r="G22" s="37"/>
      <c r="H22" s="37"/>
      <c r="I22" s="37"/>
    </row>
    <row r="23" spans="1:9" ht="14.25" thickBot="1" x14ac:dyDescent="0.25">
      <c r="A23" s="5" t="s">
        <v>26</v>
      </c>
      <c r="B23" s="6">
        <v>4</v>
      </c>
      <c r="C23" s="14" t="s">
        <v>71</v>
      </c>
      <c r="D23" s="14"/>
      <c r="E23" s="37"/>
      <c r="F23" s="37"/>
      <c r="G23" s="37"/>
      <c r="H23" s="37"/>
      <c r="I23" s="37"/>
    </row>
    <row r="24" spans="1:9" ht="14.25" thickBot="1" x14ac:dyDescent="0.25">
      <c r="A24" s="16" t="s">
        <v>22</v>
      </c>
      <c r="B24" s="16">
        <f>SUM(B20:B23)</f>
        <v>18</v>
      </c>
      <c r="C24" s="83" t="s">
        <v>48</v>
      </c>
      <c r="D24" s="17"/>
    </row>
    <row r="25" spans="1:9" ht="15" thickBot="1" x14ac:dyDescent="0.35">
      <c r="A25" s="18"/>
      <c r="B25" s="18"/>
      <c r="C25" s="18"/>
      <c r="D25" s="18"/>
    </row>
    <row r="26" spans="1:9" ht="18.75" thickBot="1" x14ac:dyDescent="0.25">
      <c r="A26" s="10" t="s">
        <v>14</v>
      </c>
      <c r="B26" s="11">
        <v>4</v>
      </c>
      <c r="C26" s="31"/>
      <c r="D26" s="33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</row>
    <row r="28" spans="1:9" ht="14.25" thickBot="1" x14ac:dyDescent="0.25">
      <c r="A28" s="9" t="s">
        <v>21</v>
      </c>
      <c r="B28" s="8">
        <v>18</v>
      </c>
      <c r="C28" s="13" t="s">
        <v>64</v>
      </c>
      <c r="D28" s="13"/>
    </row>
    <row r="29" spans="1:9" ht="14.25" thickBot="1" x14ac:dyDescent="0.25">
      <c r="A29" s="16" t="s">
        <v>22</v>
      </c>
      <c r="B29" s="16">
        <f>SUM(B28:B28)</f>
        <v>18</v>
      </c>
      <c r="C29" s="83" t="s">
        <v>48</v>
      </c>
      <c r="D29" s="17"/>
    </row>
    <row r="30" spans="1:9" ht="15" thickBot="1" x14ac:dyDescent="0.35">
      <c r="A30" s="18"/>
      <c r="B30" s="18"/>
      <c r="C30" s="18"/>
      <c r="D30" s="18"/>
    </row>
    <row r="31" spans="1:9" ht="18.75" thickBot="1" x14ac:dyDescent="0.25">
      <c r="A31" s="10" t="s">
        <v>14</v>
      </c>
      <c r="B31" s="11">
        <v>5</v>
      </c>
      <c r="C31" s="31"/>
      <c r="D31" s="33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</row>
    <row r="33" spans="1:4" ht="40.5" x14ac:dyDescent="0.2">
      <c r="A33" s="9" t="s">
        <v>45</v>
      </c>
      <c r="B33" s="8">
        <v>14</v>
      </c>
      <c r="C33" s="13" t="s">
        <v>80</v>
      </c>
      <c r="D33" s="13"/>
    </row>
    <row r="34" spans="1:4" ht="13.5" x14ac:dyDescent="0.2">
      <c r="A34" s="5" t="s">
        <v>26</v>
      </c>
      <c r="B34" s="6">
        <v>3</v>
      </c>
      <c r="C34" s="14" t="s">
        <v>72</v>
      </c>
      <c r="D34" s="14"/>
    </row>
    <row r="35" spans="1:4" ht="27.75" thickBot="1" x14ac:dyDescent="0.25">
      <c r="A35" s="5" t="s">
        <v>43</v>
      </c>
      <c r="B35" s="6">
        <v>1</v>
      </c>
      <c r="C35" s="14" t="s">
        <v>73</v>
      </c>
      <c r="D35" s="14"/>
    </row>
    <row r="36" spans="1:4" ht="14.25" thickBot="1" x14ac:dyDescent="0.25">
      <c r="A36" s="16" t="s">
        <v>22</v>
      </c>
      <c r="B36" s="16">
        <f>SUM(B33:B35)</f>
        <v>18</v>
      </c>
      <c r="C36" s="83" t="s">
        <v>48</v>
      </c>
      <c r="D36" s="17"/>
    </row>
    <row r="37" spans="1:4" ht="15" thickBot="1" x14ac:dyDescent="0.35">
      <c r="A37" s="18"/>
      <c r="B37" s="18"/>
      <c r="C37" s="18"/>
      <c r="D37" s="18"/>
    </row>
    <row r="38" spans="1:4" ht="18.75" thickBot="1" x14ac:dyDescent="0.25">
      <c r="A38" s="10" t="s">
        <v>14</v>
      </c>
      <c r="B38" s="11">
        <v>6</v>
      </c>
      <c r="C38" s="31"/>
      <c r="D38" s="33"/>
    </row>
    <row r="39" spans="1:4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4" ht="40.5" x14ac:dyDescent="0.2">
      <c r="A40" s="9" t="s">
        <v>45</v>
      </c>
      <c r="B40" s="8">
        <v>14</v>
      </c>
      <c r="C40" s="13" t="s">
        <v>81</v>
      </c>
      <c r="D40" s="13"/>
    </row>
    <row r="41" spans="1:4" ht="13.5" x14ac:dyDescent="0.2">
      <c r="A41" s="5" t="s">
        <v>26</v>
      </c>
      <c r="B41" s="6">
        <v>3</v>
      </c>
      <c r="C41" s="14" t="s">
        <v>72</v>
      </c>
      <c r="D41" s="14"/>
    </row>
    <row r="42" spans="1:4" ht="27.75" thickBot="1" x14ac:dyDescent="0.25">
      <c r="A42" s="5" t="s">
        <v>43</v>
      </c>
      <c r="B42" s="6">
        <v>1</v>
      </c>
      <c r="C42" s="14" t="s">
        <v>73</v>
      </c>
      <c r="D42" s="14"/>
    </row>
    <row r="43" spans="1:4" ht="14.25" thickBot="1" x14ac:dyDescent="0.25">
      <c r="A43" s="16" t="s">
        <v>22</v>
      </c>
      <c r="B43" s="16">
        <f>SUM(B40:B42)</f>
        <v>18</v>
      </c>
      <c r="C43" s="83" t="s">
        <v>48</v>
      </c>
      <c r="D43" s="17"/>
    </row>
    <row r="44" spans="1:4" ht="15" thickBot="1" x14ac:dyDescent="0.35">
      <c r="A44" s="18"/>
      <c r="B44" s="18"/>
      <c r="C44" s="18"/>
      <c r="D44" s="18"/>
    </row>
    <row r="45" spans="1:4" ht="18.75" thickBot="1" x14ac:dyDescent="0.25">
      <c r="A45" s="10" t="s">
        <v>14</v>
      </c>
      <c r="B45" s="11">
        <v>7</v>
      </c>
      <c r="C45" s="31"/>
      <c r="D45" s="33"/>
    </row>
    <row r="46" spans="1:4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4" ht="40.5" x14ac:dyDescent="0.2">
      <c r="A47" s="9" t="s">
        <v>45</v>
      </c>
      <c r="B47" s="8">
        <v>7</v>
      </c>
      <c r="C47" s="13" t="s">
        <v>82</v>
      </c>
      <c r="D47" s="13"/>
    </row>
    <row r="48" spans="1:4" ht="27" x14ac:dyDescent="0.2">
      <c r="A48" s="5" t="s">
        <v>43</v>
      </c>
      <c r="B48" s="6">
        <v>1</v>
      </c>
      <c r="C48" s="14" t="s">
        <v>73</v>
      </c>
      <c r="D48" s="14"/>
    </row>
    <row r="49" spans="1:4" ht="13.5" x14ac:dyDescent="0.2">
      <c r="A49" s="5" t="s">
        <v>26</v>
      </c>
      <c r="B49" s="6">
        <v>2</v>
      </c>
      <c r="C49" s="14" t="s">
        <v>72</v>
      </c>
      <c r="D49" s="14"/>
    </row>
    <row r="50" spans="1:4" ht="27" x14ac:dyDescent="0.2">
      <c r="A50" s="5" t="s">
        <v>28</v>
      </c>
      <c r="B50" s="6">
        <v>3</v>
      </c>
      <c r="C50" s="14" t="s">
        <v>83</v>
      </c>
      <c r="D50" s="14"/>
    </row>
    <row r="51" spans="1:4" ht="13.5" x14ac:dyDescent="0.2">
      <c r="A51" s="5" t="s">
        <v>29</v>
      </c>
      <c r="B51" s="6">
        <v>2</v>
      </c>
      <c r="C51" s="14" t="s">
        <v>84</v>
      </c>
      <c r="D51" s="14"/>
    </row>
    <row r="52" spans="1:4" ht="41.25" thickBot="1" x14ac:dyDescent="0.25">
      <c r="A52" s="5" t="s">
        <v>45</v>
      </c>
      <c r="B52" s="6">
        <v>3</v>
      </c>
      <c r="C52" s="14" t="s">
        <v>85</v>
      </c>
      <c r="D52" s="14"/>
    </row>
    <row r="53" spans="1:4" ht="14.25" thickBot="1" x14ac:dyDescent="0.25">
      <c r="A53" s="16" t="s">
        <v>22</v>
      </c>
      <c r="B53" s="16">
        <f>SUM(B47:B52)</f>
        <v>18</v>
      </c>
      <c r="C53" s="83" t="s">
        <v>48</v>
      </c>
      <c r="D53" s="17"/>
    </row>
    <row r="54" spans="1:4" ht="15" thickBot="1" x14ac:dyDescent="0.35">
      <c r="A54" s="18"/>
      <c r="B54" s="18"/>
      <c r="C54" s="18"/>
      <c r="D54" s="18"/>
    </row>
    <row r="55" spans="1:4" ht="18.75" thickBot="1" x14ac:dyDescent="0.25">
      <c r="A55" s="10" t="s">
        <v>14</v>
      </c>
      <c r="B55" s="11">
        <v>8</v>
      </c>
      <c r="C55" s="31"/>
      <c r="D55" s="33"/>
    </row>
    <row r="56" spans="1:4" ht="27.75" thickBot="1" x14ac:dyDescent="0.25">
      <c r="A56" s="12" t="s">
        <v>3</v>
      </c>
      <c r="B56" s="32" t="s">
        <v>15</v>
      </c>
      <c r="C56" s="12" t="s">
        <v>7</v>
      </c>
      <c r="D56" s="12" t="s">
        <v>13</v>
      </c>
    </row>
    <row r="57" spans="1:4" ht="27" x14ac:dyDescent="0.2">
      <c r="A57" s="9" t="s">
        <v>47</v>
      </c>
      <c r="B57" s="8">
        <v>16</v>
      </c>
      <c r="C57" s="13"/>
      <c r="D57" s="13"/>
    </row>
    <row r="58" spans="1:4" ht="27" x14ac:dyDescent="0.2">
      <c r="A58" s="5" t="s">
        <v>43</v>
      </c>
      <c r="B58" s="6">
        <v>1</v>
      </c>
      <c r="C58" s="14" t="s">
        <v>73</v>
      </c>
      <c r="D58" s="14"/>
    </row>
    <row r="59" spans="1:4" ht="14.25" thickBot="1" x14ac:dyDescent="0.25">
      <c r="A59" s="5" t="s">
        <v>26</v>
      </c>
      <c r="B59" s="6">
        <v>1</v>
      </c>
      <c r="C59" s="14" t="s">
        <v>73</v>
      </c>
      <c r="D59" s="14"/>
    </row>
    <row r="60" spans="1:4" ht="14.25" thickBot="1" x14ac:dyDescent="0.25">
      <c r="A60" s="16" t="s">
        <v>22</v>
      </c>
      <c r="B60" s="16">
        <f>SUM(B57:B59)</f>
        <v>18</v>
      </c>
      <c r="C60" s="83" t="s">
        <v>48</v>
      </c>
      <c r="D60" s="17"/>
    </row>
    <row r="61" spans="1:4" ht="15" thickBot="1" x14ac:dyDescent="0.35">
      <c r="A61" s="18"/>
      <c r="B61" s="18"/>
      <c r="C61" s="18"/>
      <c r="D61" s="18"/>
    </row>
    <row r="62" spans="1:4" ht="18.75" thickBot="1" x14ac:dyDescent="0.25">
      <c r="A62" s="10" t="s">
        <v>14</v>
      </c>
      <c r="B62" s="11">
        <v>9</v>
      </c>
      <c r="C62" s="31"/>
      <c r="D62" s="33"/>
    </row>
    <row r="63" spans="1:4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4" ht="27" x14ac:dyDescent="0.2">
      <c r="A64" s="9" t="s">
        <v>47</v>
      </c>
      <c r="B64" s="8">
        <v>16</v>
      </c>
      <c r="C64" s="13"/>
      <c r="D64" s="13"/>
    </row>
    <row r="65" spans="1:4" ht="27" x14ac:dyDescent="0.2">
      <c r="A65" s="5" t="s">
        <v>43</v>
      </c>
      <c r="B65" s="6">
        <v>1</v>
      </c>
      <c r="C65" s="14" t="s">
        <v>73</v>
      </c>
      <c r="D65" s="14"/>
    </row>
    <row r="66" spans="1:4" ht="14.25" thickBot="1" x14ac:dyDescent="0.25">
      <c r="A66" s="5" t="s">
        <v>26</v>
      </c>
      <c r="B66" s="6">
        <v>1</v>
      </c>
      <c r="C66" s="14" t="s">
        <v>73</v>
      </c>
      <c r="D66" s="14"/>
    </row>
    <row r="67" spans="1:4" ht="14.25" thickBot="1" x14ac:dyDescent="0.25">
      <c r="A67" s="16" t="s">
        <v>22</v>
      </c>
      <c r="B67" s="16">
        <f>SUM(B64:B66)</f>
        <v>18</v>
      </c>
      <c r="C67" s="83" t="s">
        <v>48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10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27" x14ac:dyDescent="0.2">
      <c r="A71" s="9" t="s">
        <v>47</v>
      </c>
      <c r="B71" s="8">
        <v>8</v>
      </c>
      <c r="C71" s="13" t="s">
        <v>88</v>
      </c>
      <c r="D71" s="13"/>
    </row>
    <row r="72" spans="1:4" ht="27" x14ac:dyDescent="0.2">
      <c r="A72" s="5" t="s">
        <v>28</v>
      </c>
      <c r="B72" s="6">
        <v>1</v>
      </c>
      <c r="C72" s="14" t="s">
        <v>90</v>
      </c>
      <c r="D72" s="14"/>
    </row>
    <row r="73" spans="1:4" ht="13.5" x14ac:dyDescent="0.2">
      <c r="A73" s="5" t="s">
        <v>29</v>
      </c>
      <c r="B73" s="6">
        <v>2</v>
      </c>
      <c r="C73" s="14" t="s">
        <v>91</v>
      </c>
      <c r="D73" s="14"/>
    </row>
    <row r="74" spans="1:4" ht="27" x14ac:dyDescent="0.2">
      <c r="A74" s="5" t="s">
        <v>47</v>
      </c>
      <c r="B74" s="6">
        <v>4</v>
      </c>
      <c r="C74" s="14" t="s">
        <v>89</v>
      </c>
      <c r="D74" s="14"/>
    </row>
    <row r="75" spans="1:4" ht="13.5" x14ac:dyDescent="0.2">
      <c r="A75" s="5" t="s">
        <v>26</v>
      </c>
      <c r="B75" s="6">
        <v>2</v>
      </c>
      <c r="C75" s="14" t="s">
        <v>72</v>
      </c>
      <c r="D75" s="14"/>
    </row>
    <row r="76" spans="1:4" ht="27.75" thickBot="1" x14ac:dyDescent="0.25">
      <c r="A76" s="5" t="s">
        <v>43</v>
      </c>
      <c r="B76" s="6">
        <v>1</v>
      </c>
      <c r="C76" s="14" t="s">
        <v>73</v>
      </c>
      <c r="D76" s="14"/>
    </row>
    <row r="77" spans="1:4" ht="14.25" thickBot="1" x14ac:dyDescent="0.25">
      <c r="A77" s="16" t="s">
        <v>22</v>
      </c>
      <c r="B77" s="16">
        <f>SUM(B71:B76)</f>
        <v>18</v>
      </c>
      <c r="C77" s="83" t="s">
        <v>48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11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27" x14ac:dyDescent="0.2">
      <c r="A81" s="9" t="s">
        <v>46</v>
      </c>
      <c r="B81" s="8">
        <v>16</v>
      </c>
      <c r="C81" s="13"/>
      <c r="D81" s="13"/>
    </row>
    <row r="82" spans="1:4" ht="13.5" x14ac:dyDescent="0.2">
      <c r="A82" s="5" t="s">
        <v>26</v>
      </c>
      <c r="B82" s="6">
        <v>1</v>
      </c>
      <c r="C82" s="14" t="s">
        <v>72</v>
      </c>
      <c r="D82" s="14"/>
    </row>
    <row r="83" spans="1:4" ht="27.75" thickBot="1" x14ac:dyDescent="0.25">
      <c r="A83" s="5" t="s">
        <v>43</v>
      </c>
      <c r="B83" s="6">
        <v>1</v>
      </c>
      <c r="C83" s="14" t="s">
        <v>73</v>
      </c>
      <c r="D83" s="14"/>
    </row>
    <row r="84" spans="1:4" ht="14.25" thickBot="1" x14ac:dyDescent="0.25">
      <c r="A84" s="16" t="s">
        <v>22</v>
      </c>
      <c r="B84" s="16">
        <f>SUM(B81:B83)</f>
        <v>18</v>
      </c>
      <c r="C84" s="83" t="s">
        <v>48</v>
      </c>
      <c r="D84" s="17"/>
    </row>
    <row r="85" spans="1:4" ht="15" thickBot="1" x14ac:dyDescent="0.35">
      <c r="A85" s="18"/>
      <c r="B85" s="18"/>
      <c r="C85" s="18"/>
      <c r="D85" s="18"/>
    </row>
    <row r="86" spans="1:4" ht="18.75" thickBot="1" x14ac:dyDescent="0.25">
      <c r="A86" s="10" t="s">
        <v>14</v>
      </c>
      <c r="B86" s="11">
        <v>12</v>
      </c>
      <c r="C86" s="31"/>
      <c r="D86" s="33"/>
    </row>
    <row r="87" spans="1:4" ht="27.75" thickBot="1" x14ac:dyDescent="0.25">
      <c r="A87" s="12" t="s">
        <v>3</v>
      </c>
      <c r="B87" s="32" t="s">
        <v>15</v>
      </c>
      <c r="C87" s="12" t="s">
        <v>7</v>
      </c>
      <c r="D87" s="12" t="s">
        <v>13</v>
      </c>
    </row>
    <row r="88" spans="1:4" ht="27" x14ac:dyDescent="0.2">
      <c r="A88" s="9" t="s">
        <v>46</v>
      </c>
      <c r="B88" s="8">
        <v>16</v>
      </c>
      <c r="C88" s="13"/>
      <c r="D88" s="13"/>
    </row>
    <row r="89" spans="1:4" ht="13.5" x14ac:dyDescent="0.2">
      <c r="A89" s="5" t="s">
        <v>26</v>
      </c>
      <c r="B89" s="6">
        <v>1</v>
      </c>
      <c r="C89" s="14" t="s">
        <v>72</v>
      </c>
      <c r="D89" s="14"/>
    </row>
    <row r="90" spans="1:4" ht="27.75" thickBot="1" x14ac:dyDescent="0.25">
      <c r="A90" s="5" t="s">
        <v>43</v>
      </c>
      <c r="B90" s="6">
        <v>1</v>
      </c>
      <c r="C90" s="14" t="s">
        <v>73</v>
      </c>
      <c r="D90" s="14"/>
    </row>
    <row r="91" spans="1:4" ht="14.25" thickBot="1" x14ac:dyDescent="0.25">
      <c r="A91" s="16" t="s">
        <v>22</v>
      </c>
      <c r="B91" s="16">
        <f>SUM(B88:B90)</f>
        <v>18</v>
      </c>
      <c r="C91" s="83" t="s">
        <v>48</v>
      </c>
      <c r="D91" s="17"/>
    </row>
    <row r="92" spans="1:4" ht="15" thickBot="1" x14ac:dyDescent="0.35">
      <c r="A92" s="18"/>
      <c r="B92" s="18"/>
      <c r="C92" s="18"/>
      <c r="D92" s="18"/>
    </row>
    <row r="93" spans="1:4" ht="18.75" thickBot="1" x14ac:dyDescent="0.25">
      <c r="A93" s="10" t="s">
        <v>14</v>
      </c>
      <c r="B93" s="11">
        <v>13</v>
      </c>
      <c r="C93" s="31"/>
      <c r="D93" s="33"/>
    </row>
    <row r="94" spans="1:4" ht="27.75" thickBot="1" x14ac:dyDescent="0.25">
      <c r="A94" s="12" t="s">
        <v>3</v>
      </c>
      <c r="B94" s="32" t="s">
        <v>15</v>
      </c>
      <c r="C94" s="12" t="s">
        <v>7</v>
      </c>
      <c r="D94" s="12" t="s">
        <v>13</v>
      </c>
    </row>
    <row r="95" spans="1:4" ht="13.5" x14ac:dyDescent="0.2">
      <c r="A95" s="9"/>
      <c r="B95" s="8"/>
      <c r="C95" s="13"/>
      <c r="D95" s="13"/>
    </row>
    <row r="96" spans="1:4" ht="27" x14ac:dyDescent="0.2">
      <c r="A96" s="5" t="s">
        <v>28</v>
      </c>
      <c r="B96" s="6">
        <v>5</v>
      </c>
      <c r="C96" s="14" t="s">
        <v>74</v>
      </c>
      <c r="D96" s="14"/>
    </row>
    <row r="97" spans="1:4" ht="13.5" x14ac:dyDescent="0.2">
      <c r="A97" s="5" t="s">
        <v>29</v>
      </c>
      <c r="B97" s="6">
        <v>5</v>
      </c>
      <c r="C97" s="14"/>
      <c r="D97" s="14"/>
    </row>
    <row r="98" spans="1:4" ht="27.75" thickBot="1" x14ac:dyDescent="0.25">
      <c r="A98" s="5" t="s">
        <v>44</v>
      </c>
      <c r="B98" s="6">
        <v>8</v>
      </c>
      <c r="C98" s="14" t="s">
        <v>75</v>
      </c>
      <c r="D98" s="14"/>
    </row>
    <row r="99" spans="1:4" ht="14.25" thickBot="1" x14ac:dyDescent="0.25">
      <c r="A99" s="16" t="s">
        <v>22</v>
      </c>
      <c r="B99" s="16">
        <f>SUM(B95:B98)</f>
        <v>18</v>
      </c>
      <c r="C99" s="83" t="s">
        <v>48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14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27" x14ac:dyDescent="0.2">
      <c r="A103" s="9" t="s">
        <v>28</v>
      </c>
      <c r="B103" s="8">
        <v>2</v>
      </c>
      <c r="C103" s="13" t="s">
        <v>74</v>
      </c>
      <c r="D103" s="13"/>
    </row>
    <row r="104" spans="1:4" ht="13.5" x14ac:dyDescent="0.2">
      <c r="A104" s="5" t="s">
        <v>29</v>
      </c>
      <c r="B104" s="6">
        <v>2</v>
      </c>
      <c r="C104" s="14" t="s">
        <v>87</v>
      </c>
      <c r="D104" s="14"/>
    </row>
    <row r="105" spans="1:4" ht="27" x14ac:dyDescent="0.2">
      <c r="A105" s="5" t="s">
        <v>44</v>
      </c>
      <c r="B105" s="6">
        <v>3</v>
      </c>
      <c r="C105" s="14" t="s">
        <v>75</v>
      </c>
      <c r="D105" s="14"/>
    </row>
    <row r="106" spans="1:4" ht="13.5" x14ac:dyDescent="0.2">
      <c r="A106" s="5" t="s">
        <v>26</v>
      </c>
      <c r="B106" s="6">
        <v>10</v>
      </c>
      <c r="C106" s="14" t="s">
        <v>86</v>
      </c>
      <c r="D106" s="14"/>
    </row>
    <row r="107" spans="1:4" ht="27.75" thickBot="1" x14ac:dyDescent="0.25">
      <c r="A107" s="5" t="s">
        <v>43</v>
      </c>
      <c r="B107" s="6">
        <v>1</v>
      </c>
      <c r="C107" s="14" t="s">
        <v>73</v>
      </c>
      <c r="D107" s="14"/>
    </row>
    <row r="108" spans="1:4" ht="14.25" thickBot="1" x14ac:dyDescent="0.25">
      <c r="A108" s="16" t="s">
        <v>22</v>
      </c>
      <c r="B108" s="16">
        <f>SUM(B103:B107)</f>
        <v>18</v>
      </c>
      <c r="C108" s="83" t="s">
        <v>48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15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9" t="s">
        <v>26</v>
      </c>
      <c r="B112" s="8">
        <v>12</v>
      </c>
      <c r="C112" s="13" t="s">
        <v>76</v>
      </c>
      <c r="D112" s="13"/>
    </row>
    <row r="113" spans="1:4" ht="27" x14ac:dyDescent="0.2">
      <c r="A113" s="5" t="s">
        <v>43</v>
      </c>
      <c r="B113" s="6">
        <v>4</v>
      </c>
      <c r="C113" s="14" t="s">
        <v>77</v>
      </c>
      <c r="D113" s="14"/>
    </row>
    <row r="114" spans="1:4" ht="14.25" thickBot="1" x14ac:dyDescent="0.25">
      <c r="A114" s="5" t="s">
        <v>26</v>
      </c>
      <c r="B114" s="6">
        <v>2</v>
      </c>
      <c r="C114" s="14" t="s">
        <v>78</v>
      </c>
      <c r="D114" s="14"/>
    </row>
    <row r="115" spans="1:4" ht="14.25" thickBot="1" x14ac:dyDescent="0.25">
      <c r="A115" s="16" t="s">
        <v>22</v>
      </c>
      <c r="B115" s="16">
        <f>SUM(B112:B114)</f>
        <v>18</v>
      </c>
      <c r="C115" s="83" t="s">
        <v>48</v>
      </c>
      <c r="D115" s="17"/>
    </row>
    <row r="116" spans="1:4" ht="14.25" x14ac:dyDescent="0.3">
      <c r="A116" s="18"/>
      <c r="B116" s="18"/>
      <c r="C116" s="18"/>
      <c r="D116" s="18"/>
    </row>
    <row r="117" spans="1:4" x14ac:dyDescent="0.2">
      <c r="A117" s="84" t="s">
        <v>32</v>
      </c>
    </row>
  </sheetData>
  <sheetProtection insertRows="0" selectLockedCells="1"/>
  <dataValidations count="4">
    <dataValidation type="list" allowBlank="1" showInputMessage="1" showErrorMessage="1" sqref="A3:A7 A12:A15 A20:A23 A28 A33:A35 A40:A42 A47:A52 A57:A59 A64:A66 A71:A76 A81:A83 A88:A90 A95:A98 A103:A107 A112:A11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4 B29 B36 B43 B53 B60 B67 B77 B84 B91 B99 B108 B11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5 B20:B23 B28 B33:B35 B40:B42 B47:B52 B57:B59 B64:B66 B71:B76 B81:B83 B88:B90 B95:B98 B103:B107 B112:B114 F16:F1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topLeftCell="A154" zoomScale="130" zoomScaleNormal="100" zoomScaleSheetLayoutView="130" workbookViewId="0">
      <selection activeCell="C162" sqref="C16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13" t="s">
        <v>14</v>
      </c>
      <c r="B1" s="72">
        <v>1</v>
      </c>
      <c r="C1" s="73" t="s">
        <v>23</v>
      </c>
      <c r="D1" s="82">
        <v>43343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4" x14ac:dyDescent="0.2">
      <c r="A3" s="9" t="s">
        <v>27</v>
      </c>
      <c r="B3" s="8">
        <v>2</v>
      </c>
      <c r="C3" s="13" t="s">
        <v>65</v>
      </c>
      <c r="D3" s="13" t="s">
        <v>92</v>
      </c>
    </row>
    <row r="4" spans="1:4" s="81" customFormat="1" ht="40.5" x14ac:dyDescent="0.2">
      <c r="A4" s="5" t="s">
        <v>58</v>
      </c>
      <c r="B4" s="6">
        <v>4</v>
      </c>
      <c r="C4" s="14" t="s">
        <v>59</v>
      </c>
      <c r="D4" s="14" t="s">
        <v>96</v>
      </c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 t="s">
        <v>95</v>
      </c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 t="s">
        <v>93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113" t="s">
        <v>14</v>
      </c>
      <c r="B20" s="72">
        <v>2</v>
      </c>
      <c r="C20" s="73" t="s">
        <v>23</v>
      </c>
      <c r="D20" s="82">
        <v>43350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25</v>
      </c>
      <c r="B22" s="8">
        <v>6</v>
      </c>
      <c r="C22" s="13" t="s">
        <v>61</v>
      </c>
      <c r="D22" s="13" t="s">
        <v>95</v>
      </c>
    </row>
    <row r="23" spans="1:9" ht="40.5" x14ac:dyDescent="0.2">
      <c r="A23" s="5" t="s">
        <v>58</v>
      </c>
      <c r="B23" s="6">
        <v>8</v>
      </c>
      <c r="C23" s="14" t="s">
        <v>63</v>
      </c>
      <c r="D23" s="14" t="s">
        <v>94</v>
      </c>
    </row>
    <row r="24" spans="1:9" ht="27" x14ac:dyDescent="0.2">
      <c r="A24" s="5" t="s">
        <v>27</v>
      </c>
      <c r="B24" s="6">
        <v>1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42</v>
      </c>
      <c r="B25" s="6">
        <v>3</v>
      </c>
      <c r="C25" s="14" t="s">
        <v>69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18</v>
      </c>
      <c r="C37" s="112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113" t="s">
        <v>14</v>
      </c>
      <c r="B39" s="72">
        <v>3</v>
      </c>
      <c r="C39" s="73" t="s">
        <v>23</v>
      </c>
      <c r="D39" s="82">
        <v>43357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27" x14ac:dyDescent="0.2">
      <c r="A41" s="9" t="s">
        <v>44</v>
      </c>
      <c r="B41" s="8">
        <v>10</v>
      </c>
      <c r="C41" s="13" t="s">
        <v>98</v>
      </c>
      <c r="D41" s="13"/>
    </row>
    <row r="42" spans="1:9" ht="27" x14ac:dyDescent="0.2">
      <c r="A42" s="5" t="s">
        <v>43</v>
      </c>
      <c r="B42" s="6">
        <v>1</v>
      </c>
      <c r="C42" s="14" t="s">
        <v>70</v>
      </c>
      <c r="D42" s="14"/>
    </row>
    <row r="43" spans="1:9" ht="40.5" x14ac:dyDescent="0.2">
      <c r="A43" s="5" t="s">
        <v>45</v>
      </c>
      <c r="B43" s="6">
        <v>1</v>
      </c>
      <c r="C43" s="14" t="s">
        <v>99</v>
      </c>
      <c r="D43" s="14"/>
    </row>
    <row r="44" spans="1:9" ht="13.5" x14ac:dyDescent="0.2">
      <c r="A44" s="5" t="s">
        <v>26</v>
      </c>
      <c r="B44" s="6">
        <v>4</v>
      </c>
      <c r="C44" s="14" t="s">
        <v>71</v>
      </c>
      <c r="D44" s="14"/>
    </row>
    <row r="45" spans="1:9" ht="13.5" x14ac:dyDescent="0.2">
      <c r="A45" s="5" t="s">
        <v>21</v>
      </c>
      <c r="B45" s="6">
        <v>2</v>
      </c>
      <c r="C45" s="14" t="s">
        <v>104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18</v>
      </c>
      <c r="C56" s="112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113" t="s">
        <v>14</v>
      </c>
      <c r="B58" s="72">
        <v>4</v>
      </c>
      <c r="C58" s="73" t="s">
        <v>23</v>
      </c>
      <c r="D58" s="82">
        <v>43364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18</v>
      </c>
      <c r="C60" s="13" t="s">
        <v>97</v>
      </c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18</v>
      </c>
      <c r="C75" s="112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113" t="s">
        <v>14</v>
      </c>
      <c r="B77" s="72">
        <v>5</v>
      </c>
      <c r="C77" s="73" t="s">
        <v>23</v>
      </c>
      <c r="D77" s="82">
        <v>43371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27" x14ac:dyDescent="0.2">
      <c r="A79" s="9" t="s">
        <v>24</v>
      </c>
      <c r="B79" s="8">
        <v>4</v>
      </c>
      <c r="C79" s="13" t="s">
        <v>100</v>
      </c>
      <c r="D79" s="13" t="s">
        <v>101</v>
      </c>
    </row>
    <row r="80" spans="1:4" ht="54" x14ac:dyDescent="0.2">
      <c r="A80" s="5" t="s">
        <v>45</v>
      </c>
      <c r="B80" s="6">
        <v>11</v>
      </c>
      <c r="C80" s="14" t="s">
        <v>103</v>
      </c>
      <c r="D80" s="14" t="s">
        <v>102</v>
      </c>
    </row>
    <row r="81" spans="1:4" ht="27" x14ac:dyDescent="0.2">
      <c r="A81" s="5" t="s">
        <v>43</v>
      </c>
      <c r="B81" s="6">
        <v>1</v>
      </c>
      <c r="C81" s="14"/>
      <c r="D81" s="14"/>
    </row>
    <row r="82" spans="1:4" ht="13.5" x14ac:dyDescent="0.2">
      <c r="A82" s="5" t="s">
        <v>24</v>
      </c>
      <c r="B82" s="6">
        <v>2</v>
      </c>
      <c r="C82" s="14" t="s">
        <v>105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18</v>
      </c>
      <c r="C94" s="112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113" t="s">
        <v>14</v>
      </c>
      <c r="B96" s="72">
        <v>6</v>
      </c>
      <c r="C96" s="73" t="s">
        <v>23</v>
      </c>
      <c r="D96" s="82">
        <v>43378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26</v>
      </c>
      <c r="B98" s="8">
        <v>8</v>
      </c>
      <c r="C98" s="13" t="s">
        <v>72</v>
      </c>
      <c r="D98" s="13"/>
    </row>
    <row r="99" spans="1:4" ht="40.5" x14ac:dyDescent="0.2">
      <c r="A99" s="5" t="s">
        <v>45</v>
      </c>
      <c r="B99" s="6">
        <v>4</v>
      </c>
      <c r="C99" s="14" t="s">
        <v>106</v>
      </c>
      <c r="D99" s="14"/>
    </row>
    <row r="100" spans="1:4" ht="27" x14ac:dyDescent="0.2">
      <c r="A100" s="5" t="s">
        <v>47</v>
      </c>
      <c r="B100" s="6">
        <v>5</v>
      </c>
      <c r="C100" s="14" t="s">
        <v>107</v>
      </c>
      <c r="D100" s="14"/>
    </row>
    <row r="101" spans="1:4" ht="27" x14ac:dyDescent="0.2">
      <c r="A101" s="5" t="s">
        <v>43</v>
      </c>
      <c r="B101" s="6">
        <v>1</v>
      </c>
      <c r="C101" s="14" t="s">
        <v>73</v>
      </c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12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113" t="s">
        <v>14</v>
      </c>
      <c r="B115" s="72">
        <v>7</v>
      </c>
      <c r="C115" s="73" t="s">
        <v>23</v>
      </c>
      <c r="D115" s="82">
        <v>43385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40.5" x14ac:dyDescent="0.2">
      <c r="A117" s="9" t="s">
        <v>45</v>
      </c>
      <c r="B117" s="8">
        <v>16</v>
      </c>
      <c r="C117" s="13" t="s">
        <v>109</v>
      </c>
      <c r="D117" s="13"/>
    </row>
    <row r="118" spans="1:4" ht="13.5" x14ac:dyDescent="0.2">
      <c r="A118" s="5" t="s">
        <v>26</v>
      </c>
      <c r="B118" s="6">
        <v>2</v>
      </c>
      <c r="C118" s="14" t="s">
        <v>110</v>
      </c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18</v>
      </c>
      <c r="C132" s="112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113" t="s">
        <v>14</v>
      </c>
      <c r="B134" s="72">
        <v>8</v>
      </c>
      <c r="C134" s="73" t="s">
        <v>23</v>
      </c>
      <c r="D134" s="82">
        <v>43392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18</v>
      </c>
      <c r="C136" s="13" t="s">
        <v>108</v>
      </c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18</v>
      </c>
      <c r="C151" s="112" t="s">
        <v>48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113" t="s">
        <v>14</v>
      </c>
      <c r="B153" s="72">
        <v>9</v>
      </c>
      <c r="C153" s="73" t="s">
        <v>23</v>
      </c>
      <c r="D153" s="82">
        <v>43399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 t="s">
        <v>21</v>
      </c>
      <c r="B155" s="8">
        <v>18</v>
      </c>
      <c r="C155" s="13" t="s">
        <v>108</v>
      </c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18</v>
      </c>
      <c r="C170" s="112" t="s">
        <v>48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113" t="s">
        <v>14</v>
      </c>
      <c r="B172" s="72">
        <v>10</v>
      </c>
      <c r="C172" s="73" t="s">
        <v>23</v>
      </c>
      <c r="D172" s="82">
        <v>43406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112" t="s">
        <v>48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113" t="s">
        <v>14</v>
      </c>
      <c r="B191" s="72">
        <v>11</v>
      </c>
      <c r="C191" s="73" t="s">
        <v>23</v>
      </c>
      <c r="D191" s="82">
        <v>43413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112" t="s">
        <v>48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113" t="s">
        <v>14</v>
      </c>
      <c r="B210" s="72">
        <v>12</v>
      </c>
      <c r="C210" s="73" t="s">
        <v>23</v>
      </c>
      <c r="D210" s="82">
        <v>43420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112" t="s">
        <v>48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113" t="s">
        <v>14</v>
      </c>
      <c r="B229" s="72">
        <v>13</v>
      </c>
      <c r="C229" s="73" t="s">
        <v>23</v>
      </c>
      <c r="D229" s="82">
        <v>43427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112" t="s">
        <v>48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113" t="s">
        <v>14</v>
      </c>
      <c r="B248" s="72">
        <v>14</v>
      </c>
      <c r="C248" s="73" t="s">
        <v>23</v>
      </c>
      <c r="D248" s="82">
        <v>43434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112" t="s">
        <v>48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113" t="s">
        <v>14</v>
      </c>
      <c r="B267" s="72">
        <v>15</v>
      </c>
      <c r="C267" s="73" t="s">
        <v>23</v>
      </c>
      <c r="D267" s="82">
        <v>43441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112" t="s">
        <v>48</v>
      </c>
      <c r="D284" s="77"/>
    </row>
    <row r="285" spans="1:4" ht="14.25" x14ac:dyDescent="0.3">
      <c r="A285" s="78"/>
      <c r="B285" s="78"/>
      <c r="C285" s="78"/>
      <c r="D285" s="78"/>
    </row>
    <row r="286" spans="1:4" x14ac:dyDescent="0.2">
      <c r="A286" s="84" t="s">
        <v>32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GRENIER Sacha</cp:lastModifiedBy>
  <cp:lastPrinted>2017-05-19T14:26:56Z</cp:lastPrinted>
  <dcterms:created xsi:type="dcterms:W3CDTF">1996-10-21T11:03:58Z</dcterms:created>
  <dcterms:modified xsi:type="dcterms:W3CDTF">2018-11-01T07:06:52Z</dcterms:modified>
  <cp:contentStatus>Version 8.0</cp:contentStatus>
</cp:coreProperties>
</file>