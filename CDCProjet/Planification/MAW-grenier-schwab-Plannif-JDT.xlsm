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P:\MAW1.1\CDCProjet\Planification\"/>
    </mc:Choice>
  </mc:AlternateContent>
  <bookViews>
    <workbookView xWindow="0" yWindow="0" windowWidth="28800" windowHeight="12330" activeTab="7"/>
  </bookViews>
  <sheets>
    <sheet name="Donnees" sheetId="7" r:id="rId1"/>
    <sheet name="Diagramme" sheetId="162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3" r:id="rId7"/>
    <sheet name="JNLTRAV" sheetId="161" r:id="rId8"/>
  </sheets>
  <definedNames>
    <definedName name="datDateBegin">Donnees!$C$9</definedName>
    <definedName name="ListTasks">Diagramme!$B$3:$B$32</definedName>
    <definedName name="lstTasks">Donnees!$C$20:$C$45</definedName>
    <definedName name="NbLessons">Diagramme!$C$3:$C$32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Planning!$A$1:$D$9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Diagramme!$A$1:$JN$35</definedName>
    <definedName name="_xlnm.Print_Area" localSheetId="0">Donnees!$A$1:$G$54</definedName>
    <definedName name="_xlnm.Print_Area" localSheetId="7">JNLTRAV!$A$1:$D$285</definedName>
    <definedName name="_xlnm.Print_Area" localSheetId="6">Planning!$A$1:$D$116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15" i="163" l="1"/>
  <c r="B108" i="163"/>
  <c r="B99" i="163"/>
  <c r="B91" i="163"/>
  <c r="B84" i="163"/>
  <c r="B77" i="163"/>
  <c r="B67" i="163"/>
  <c r="B60" i="163"/>
  <c r="B53" i="163"/>
  <c r="B43" i="163"/>
  <c r="B36" i="163"/>
  <c r="B29" i="163"/>
  <c r="B24" i="163"/>
  <c r="B16" i="163"/>
  <c r="B8" i="163"/>
  <c r="B31" i="162"/>
  <c r="B29" i="162"/>
  <c r="B27" i="162"/>
  <c r="B25" i="162"/>
  <c r="B23" i="162"/>
  <c r="B21" i="162"/>
  <c r="B19" i="162"/>
  <c r="B17" i="162"/>
  <c r="B15" i="162"/>
  <c r="B13" i="162"/>
  <c r="B11" i="162"/>
  <c r="B9" i="162"/>
  <c r="B7" i="162"/>
  <c r="B5" i="162"/>
  <c r="C34" i="162"/>
  <c r="C33" i="162"/>
  <c r="B284" i="161"/>
  <c r="B265" i="161"/>
  <c r="B246" i="161"/>
  <c r="B227" i="161"/>
  <c r="B208" i="161"/>
  <c r="B189" i="161"/>
  <c r="B170" i="161"/>
  <c r="B151" i="161"/>
  <c r="B132" i="161"/>
  <c r="B113" i="161"/>
  <c r="B94" i="161"/>
  <c r="B75" i="161"/>
  <c r="B56" i="161"/>
  <c r="B37" i="161"/>
  <c r="B18" i="161"/>
  <c r="B18" i="154" l="1"/>
  <c r="B13" i="11"/>
</calcChain>
</file>

<file path=xl/sharedStrings.xml><?xml version="1.0" encoding="utf-8"?>
<sst xmlns="http://schemas.openxmlformats.org/spreadsheetml/2006/main" count="462" uniqueCount="111">
  <si>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</si>
  <si>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</si>
  <si>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</si>
  <si>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</si>
  <si>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</si>
  <si>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</si>
  <si>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</si>
  <si>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</si>
  <si>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</si>
  <si>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</si>
  <si>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</si>
  <si>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</si>
  <si>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</si>
  <si>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</si>
  <si>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</si>
  <si>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</si>
  <si>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</si>
  <si>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</si>
  <si>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</si>
  <si>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</si>
  <si>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</si>
  <si>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</si>
  <si>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</si>
  <si>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</si>
  <si>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Analyse</t>
  </si>
  <si>
    <t>Création des maquettes</t>
  </si>
  <si>
    <t>Documentation</t>
  </si>
  <si>
    <t>Prise de connaissance du projet</t>
  </si>
  <si>
    <t>Création de la grille de test</t>
  </si>
  <si>
    <t>Tests</t>
  </si>
  <si>
    <t>Création du layout</t>
  </si>
  <si>
    <t>Mise en place du dépôt GitHub</t>
  </si>
  <si>
    <t>STOP</t>
  </si>
  <si>
    <t>S 1</t>
  </si>
  <si>
    <t>S 2</t>
  </si>
  <si>
    <t>S 3</t>
  </si>
  <si>
    <t>S 4</t>
  </si>
  <si>
    <t>S 5</t>
  </si>
  <si>
    <t>S 6</t>
  </si>
  <si>
    <t>MAW1.1</t>
  </si>
  <si>
    <t>Sacha Grenier, Xavier Schwab</t>
  </si>
  <si>
    <t>SiT-1A</t>
  </si>
  <si>
    <t>Création de la planification</t>
  </si>
  <si>
    <t>Edition du journal de travail</t>
  </si>
  <si>
    <t>Développement de l'application</t>
  </si>
  <si>
    <t>Développement de la fonction de recherche</t>
  </si>
  <si>
    <t>Développement de la prévisualisation</t>
  </si>
  <si>
    <t>Développement de la liste de résultats</t>
  </si>
  <si>
    <t>Max. 18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</si>
  <si>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</si>
  <si>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</si>
  <si>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</si>
  <si>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</si>
  <si>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</si>
  <si>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</si>
  <si>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</si>
  <si>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</si>
  <si>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</si>
  <si>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Création du cahier de charges</t>
  </si>
  <si>
    <t>Création du cahier de charges, écriture des informations générales</t>
  </si>
  <si>
    <t>Design basique des maquettes</t>
  </si>
  <si>
    <t>Reflexion avancée sur les maquettes, finalisation</t>
  </si>
  <si>
    <t>Lecture des réponses données par le client</t>
  </si>
  <si>
    <t>Ecriture des Use-Case, explication de la maquette</t>
  </si>
  <si>
    <t>Camp</t>
  </si>
  <si>
    <t>Demande obtenue par le client, mise en place de questions par rapport à sa demande</t>
  </si>
  <si>
    <t>Analyse des ressources requises et des fonctionnalités demandées</t>
  </si>
  <si>
    <t>Sur les ordinateurs</t>
  </si>
  <si>
    <t>Mise en place de l'environement, création de la fenêtre d'application en se basant sur la maquette</t>
  </si>
  <si>
    <t>Planification générale du projet, création de journal de travail</t>
  </si>
  <si>
    <t>Mise à jour des données</t>
  </si>
  <si>
    <t>Création du rapport de projet</t>
  </si>
  <si>
    <t>Mise à jour du rapport de projet</t>
  </si>
  <si>
    <t>M.à.j.</t>
  </si>
  <si>
    <t>Création de tests</t>
  </si>
  <si>
    <t>Correction des bugs suite aux tests</t>
  </si>
  <si>
    <t>Finalisation de rapport de projet</t>
  </si>
  <si>
    <t>Finalisation du journal de travail</t>
  </si>
  <si>
    <t>Retour du projet</t>
  </si>
  <si>
    <t>Recherche des ressources pouvant être utile pour la recherche</t>
  </si>
  <si>
    <t>Recherche de documents avec la barre de recherche</t>
  </si>
  <si>
    <t>Recherche de documents avec la barre de recherche et filtres</t>
  </si>
  <si>
    <t>Optimisation recherche de documents</t>
  </si>
  <si>
    <t>Création d'un paterne de tests, et creation de tests pour la fonction de recherche</t>
  </si>
  <si>
    <t>tests de la fonction de recherche</t>
  </si>
  <si>
    <t>Correction de bugs suite aux tests</t>
  </si>
  <si>
    <t>Insertion des tests dans la documentation avec les résultats obtenus</t>
  </si>
  <si>
    <t>Execution de tests</t>
  </si>
  <si>
    <t>Finalisation du développement de la liste de résultats</t>
  </si>
  <si>
    <t>Correction des bugs suite au tests</t>
  </si>
  <si>
    <t>Création de tests pour la liste de résultats</t>
  </si>
  <si>
    <t xml:space="preserve"> Execution des tests</t>
  </si>
  <si>
    <t>Doc. Du client : https://docs.google.com/document/d/1apzqjvQpRkwv5_bBAuR2quIVcf3MvU4gNRlsXNIKT8g/edit</t>
  </si>
  <si>
    <t>https://github.com/SachaGrenier/MAW1.1</t>
  </si>
  <si>
    <t>https://github.com/SachaGrenier/MAW1.1/blob/master/CDCProjet/Use%20Case/Filtre%20et%20recherche%20de%20document.docx</t>
  </si>
  <si>
    <t>https://github.com/SachaGrenier/MAW1.1/tree/master/CDCProjet/Mockup</t>
  </si>
  <si>
    <t>https://github.com/SachaGrenier/MAW1.1/blob/master/CDCProjet/CDC/Cahier_des_charges.docx</t>
  </si>
  <si>
    <t>Camp + lundi du jeune</t>
  </si>
  <si>
    <t>Mise en place de l'environement, création de la base de l'application construction du bouton de séléction de dossier</t>
  </si>
  <si>
    <t>Recherches sur la mise en place d'un bouton de récupération de dossier</t>
  </si>
  <si>
    <t>Analyse de l'architechture des méthodes à intégrer</t>
  </si>
  <si>
    <t>https://github.com/SachaGrenier/MAW1.1/tree/master/CDCProjet</t>
  </si>
  <si>
    <t>https://docs.microsoft.com/en-us/dotnet/csharp/programming-guide/concepts/linq/introduction-to-linq-queries</t>
  </si>
  <si>
    <t>Implémentation des fonctions LINQ de recherche et adaptation dans notre code</t>
  </si>
  <si>
    <t>Le Git à été refait suite à des erreurs de manipulation</t>
  </si>
  <si>
    <t>Recherche sur LinQ et de son utilisation pour notre situation</t>
  </si>
  <si>
    <t>Développement de la fonction de recherche dans la liste des documents</t>
  </si>
  <si>
    <t>Développement de la fonction qui récupère les méta données pour les afficher dans la liste de résultats</t>
  </si>
  <si>
    <t>Vacances</t>
  </si>
  <si>
    <t>Completion de la recherche, notamment pour les documents word ainsi que leur contenu</t>
  </si>
  <si>
    <t>M.à.j. du 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</si>
</sst>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8" fillId="13" borderId="14" xfId="0" applyFont="1" applyFill="1" applyBorder="1" applyAlignment="1" applyProtection="1">
      <alignment horizontal="center" vertical="center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3249" name="btnImportPlanification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1201" name="btnImportRealisation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0" zoomScaleNormal="100" workbookViewId="0">
      <selection activeCell="C36" sqref="C36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39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40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41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/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43343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43448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6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9" t="s">
        <v>19</v>
      </c>
      <c r="C19" s="120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24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25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26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42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31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30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28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29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7" t="s">
        <v>43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44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45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46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47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58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7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7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JM34"/>
  <sheetViews>
    <sheetView view="pageBreakPreview" topLeftCell="B1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273" ht="13.5" thickBot="1" x14ac:dyDescent="0.25">
      <c r="B1" s="86"/>
      <c r="C1" s="86"/>
    </row>
    <row r="2" spans="1:273" ht="42.75" customHeight="1" thickBot="1" x14ac:dyDescent="0.25">
      <c r="A2" s="87"/>
      <c r="B2" s="45" t="s">
        <v>5</v>
      </c>
      <c r="C2" s="29" t="s">
        <v>18</v>
      </c>
      <c r="D2" s="121" t="s">
        <v>33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3"/>
      <c r="V2" s="121" t="s">
        <v>34</v>
      </c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3"/>
      <c r="AN2" s="121" t="s">
        <v>35</v>
      </c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2"/>
      <c r="AZ2" s="122"/>
      <c r="BA2" s="122"/>
      <c r="BB2" s="122"/>
      <c r="BC2" s="122"/>
      <c r="BD2" s="122"/>
      <c r="BE2" s="123"/>
      <c r="BF2" s="121" t="s">
        <v>36</v>
      </c>
      <c r="BG2" s="122"/>
      <c r="BH2" s="122"/>
      <c r="BI2" s="122"/>
      <c r="BJ2" s="122"/>
      <c r="BK2" s="122"/>
      <c r="BL2" s="122"/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3"/>
      <c r="BX2" s="121" t="s">
        <v>37</v>
      </c>
      <c r="BY2" s="122"/>
      <c r="BZ2" s="122"/>
      <c r="CA2" s="122"/>
      <c r="CB2" s="122"/>
      <c r="CC2" s="122"/>
      <c r="CD2" s="122"/>
      <c r="CE2" s="122"/>
      <c r="CF2" s="122"/>
      <c r="CG2" s="122"/>
      <c r="CH2" s="122"/>
      <c r="CI2" s="122"/>
      <c r="CJ2" s="122"/>
      <c r="CK2" s="122"/>
      <c r="CL2" s="122"/>
      <c r="CM2" s="122"/>
      <c r="CN2" s="122"/>
      <c r="CO2" s="123"/>
      <c r="CP2" s="121" t="s">
        <v>38</v>
      </c>
      <c r="CQ2" s="122"/>
      <c r="CR2" s="122"/>
      <c r="CS2" s="122"/>
      <c r="CT2" s="122"/>
      <c r="CU2" s="122"/>
      <c r="CV2" s="122"/>
      <c r="CW2" s="122"/>
      <c r="CX2" s="122"/>
      <c r="CY2" s="122"/>
      <c r="CZ2" s="122"/>
      <c r="DA2" s="122"/>
      <c r="DB2" s="122"/>
      <c r="DC2" s="122"/>
      <c r="DD2" s="122"/>
      <c r="DE2" s="122"/>
      <c r="DF2" s="122"/>
      <c r="DG2" s="123"/>
      <c r="DH2" s="121" t="s">
        <v>49</v>
      </c>
      <c r="DI2" s="122"/>
      <c r="DJ2" s="122"/>
      <c r="DK2" s="122"/>
      <c r="DL2" s="122"/>
      <c r="DM2" s="122"/>
      <c r="DN2" s="122"/>
      <c r="DO2" s="122"/>
      <c r="DP2" s="122"/>
      <c r="DQ2" s="122"/>
      <c r="DR2" s="122"/>
      <c r="DS2" s="122"/>
      <c r="DT2" s="122"/>
      <c r="DU2" s="122"/>
      <c r="DV2" s="122"/>
      <c r="DW2" s="122"/>
      <c r="DX2" s="122"/>
      <c r="DY2" s="123"/>
      <c r="DZ2" s="121" t="s">
        <v>50</v>
      </c>
      <c r="EA2" s="122"/>
      <c r="EB2" s="122"/>
      <c r="EC2" s="122"/>
      <c r="ED2" s="122"/>
      <c r="EE2" s="122"/>
      <c r="EF2" s="122"/>
      <c r="EG2" s="122"/>
      <c r="EH2" s="122"/>
      <c r="EI2" s="122"/>
      <c r="EJ2" s="122"/>
      <c r="EK2" s="122"/>
      <c r="EL2" s="122"/>
      <c r="EM2" s="122"/>
      <c r="EN2" s="122"/>
      <c r="EO2" s="122"/>
      <c r="EP2" s="122"/>
      <c r="EQ2" s="123"/>
      <c r="ER2" s="121" t="s">
        <v>51</v>
      </c>
      <c r="ES2" s="122"/>
      <c r="ET2" s="122"/>
      <c r="EU2" s="122"/>
      <c r="EV2" s="122"/>
      <c r="EW2" s="122"/>
      <c r="EX2" s="122"/>
      <c r="EY2" s="122"/>
      <c r="EZ2" s="122"/>
      <c r="FA2" s="122"/>
      <c r="FB2" s="122"/>
      <c r="FC2" s="122"/>
      <c r="FD2" s="122"/>
      <c r="FE2" s="122"/>
      <c r="FF2" s="122"/>
      <c r="FG2" s="122"/>
      <c r="FH2" s="122"/>
      <c r="FI2" s="123"/>
      <c r="FJ2" s="121" t="s">
        <v>52</v>
      </c>
      <c r="FK2" s="122"/>
      <c r="FL2" s="122"/>
      <c r="FM2" s="122"/>
      <c r="FN2" s="122"/>
      <c r="FO2" s="122"/>
      <c r="FP2" s="122"/>
      <c r="FQ2" s="122"/>
      <c r="FR2" s="122"/>
      <c r="FS2" s="122"/>
      <c r="FT2" s="122"/>
      <c r="FU2" s="122"/>
      <c r="FV2" s="122"/>
      <c r="FW2" s="122"/>
      <c r="FX2" s="122"/>
      <c r="FY2" s="122"/>
      <c r="FZ2" s="122"/>
      <c r="GA2" s="123"/>
      <c r="GB2" s="121" t="s">
        <v>53</v>
      </c>
      <c r="GC2" s="122"/>
      <c r="GD2" s="122"/>
      <c r="GE2" s="122"/>
      <c r="GF2" s="122"/>
      <c r="GG2" s="122"/>
      <c r="GH2" s="122"/>
      <c r="GI2" s="122"/>
      <c r="GJ2" s="122"/>
      <c r="GK2" s="122"/>
      <c r="GL2" s="122"/>
      <c r="GM2" s="122"/>
      <c r="GN2" s="122"/>
      <c r="GO2" s="122"/>
      <c r="GP2" s="122"/>
      <c r="GQ2" s="122"/>
      <c r="GR2" s="122"/>
      <c r="GS2" s="123"/>
      <c r="GT2" s="121" t="s">
        <v>54</v>
      </c>
      <c r="GU2" s="122"/>
      <c r="GV2" s="122"/>
      <c r="GW2" s="122"/>
      <c r="GX2" s="122"/>
      <c r="GY2" s="122"/>
      <c r="GZ2" s="122"/>
      <c r="HA2" s="122"/>
      <c r="HB2" s="122"/>
      <c r="HC2" s="122"/>
      <c r="HD2" s="122"/>
      <c r="HE2" s="122"/>
      <c r="HF2" s="122"/>
      <c r="HG2" s="122"/>
      <c r="HH2" s="122"/>
      <c r="HI2" s="122"/>
      <c r="HJ2" s="122"/>
      <c r="HK2" s="123"/>
      <c r="HL2" s="121" t="s">
        <v>55</v>
      </c>
      <c r="HM2" s="122"/>
      <c r="HN2" s="122"/>
      <c r="HO2" s="122"/>
      <c r="HP2" s="122"/>
      <c r="HQ2" s="122"/>
      <c r="HR2" s="122"/>
      <c r="HS2" s="122"/>
      <c r="HT2" s="122"/>
      <c r="HU2" s="122"/>
      <c r="HV2" s="122"/>
      <c r="HW2" s="122"/>
      <c r="HX2" s="122"/>
      <c r="HY2" s="122"/>
      <c r="HZ2" s="122"/>
      <c r="IA2" s="122"/>
      <c r="IB2" s="122"/>
      <c r="IC2" s="123"/>
      <c r="ID2" s="121" t="s">
        <v>56</v>
      </c>
      <c r="IE2" s="122"/>
      <c r="IF2" s="122"/>
      <c r="IG2" s="122"/>
      <c r="IH2" s="122"/>
      <c r="II2" s="122"/>
      <c r="IJ2" s="122"/>
      <c r="IK2" s="122"/>
      <c r="IL2" s="122"/>
      <c r="IM2" s="122"/>
      <c r="IN2" s="122"/>
      <c r="IO2" s="122"/>
      <c r="IP2" s="122"/>
      <c r="IQ2" s="122"/>
      <c r="IR2" s="122"/>
      <c r="IS2" s="122"/>
      <c r="IT2" s="122"/>
      <c r="IU2" s="123"/>
      <c r="IV2" s="121" t="s">
        <v>57</v>
      </c>
      <c r="IW2" s="122"/>
      <c r="IX2" s="122"/>
      <c r="IY2" s="122"/>
      <c r="IZ2" s="122"/>
      <c r="JA2" s="122"/>
      <c r="JB2" s="122"/>
      <c r="JC2" s="122"/>
      <c r="JD2" s="122"/>
      <c r="JE2" s="122"/>
      <c r="JF2" s="122"/>
      <c r="JG2" s="122"/>
      <c r="JH2" s="122"/>
      <c r="JI2" s="122"/>
      <c r="JJ2" s="122"/>
      <c r="JK2" s="122"/>
      <c r="JL2" s="122"/>
      <c r="JM2" s="123"/>
    </row>
    <row r="3" spans="1:273" ht="19.5" customHeight="1" x14ac:dyDescent="0.2">
      <c r="A3" s="87"/>
      <c r="B3" s="126" t="s">
        <v>21</v>
      </c>
      <c r="C3" s="30">
        <v>18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2"/>
      <c r="V3" s="88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2"/>
      <c r="AN3" s="88"/>
      <c r="AO3" s="89"/>
      <c r="AP3" s="90"/>
      <c r="AQ3" s="91"/>
      <c r="AR3" s="89"/>
      <c r="AS3" s="90"/>
      <c r="AT3" s="110"/>
      <c r="AU3" s="108"/>
      <c r="AV3" s="109"/>
      <c r="AW3" s="110"/>
      <c r="AX3" s="108"/>
      <c r="AY3" s="109"/>
      <c r="AZ3" s="110"/>
      <c r="BA3" s="108"/>
      <c r="BB3" s="109"/>
      <c r="BC3" s="110"/>
      <c r="BD3" s="108"/>
      <c r="BE3" s="111"/>
      <c r="BF3" s="107"/>
      <c r="BG3" s="108"/>
      <c r="BH3" s="109"/>
      <c r="BI3" s="110"/>
      <c r="BJ3" s="108"/>
      <c r="BK3" s="109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2"/>
      <c r="BX3" s="88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2"/>
      <c r="CP3" s="88"/>
      <c r="CQ3" s="89"/>
      <c r="CR3" s="90"/>
      <c r="CS3" s="91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2"/>
      <c r="DH3" s="88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2"/>
      <c r="DZ3" s="88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2"/>
      <c r="ER3" s="88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2"/>
      <c r="FJ3" s="88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2"/>
      <c r="GB3" s="88"/>
      <c r="GC3" s="89"/>
      <c r="GD3" s="90"/>
      <c r="GE3" s="91"/>
      <c r="GF3" s="89"/>
      <c r="GG3" s="90"/>
      <c r="GH3" s="91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2"/>
      <c r="GT3" s="88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2"/>
      <c r="HL3" s="88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2"/>
      <c r="ID3" s="88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2"/>
      <c r="IV3" s="88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2"/>
    </row>
    <row r="4" spans="1:273" ht="19.5" customHeight="1" thickBot="1" x14ac:dyDescent="0.25">
      <c r="A4" s="87"/>
      <c r="B4" s="127"/>
      <c r="C4" s="44">
        <v>18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7"/>
      <c r="V4" s="93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7"/>
      <c r="AN4" s="93"/>
      <c r="AO4" s="94"/>
      <c r="AP4" s="95"/>
      <c r="AQ4" s="96"/>
      <c r="AR4" s="115"/>
      <c r="AS4" s="116"/>
      <c r="AT4" s="117"/>
      <c r="AU4" s="115"/>
      <c r="AV4" s="116"/>
      <c r="AW4" s="117"/>
      <c r="AX4" s="115"/>
      <c r="AY4" s="116"/>
      <c r="AZ4" s="117"/>
      <c r="BA4" s="115"/>
      <c r="BB4" s="116"/>
      <c r="BC4" s="117"/>
      <c r="BD4" s="115"/>
      <c r="BE4" s="118"/>
      <c r="BF4" s="114"/>
      <c r="BG4" s="115"/>
      <c r="BH4" s="116"/>
      <c r="BI4" s="117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7"/>
      <c r="BX4" s="93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7"/>
      <c r="CP4" s="93"/>
      <c r="CQ4" s="94"/>
      <c r="CR4" s="95"/>
      <c r="CS4" s="96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7"/>
      <c r="DH4" s="93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7"/>
      <c r="DZ4" s="93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7"/>
      <c r="ER4" s="93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7"/>
      <c r="FJ4" s="93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7"/>
      <c r="GB4" s="93"/>
      <c r="GC4" s="94"/>
      <c r="GD4" s="95"/>
      <c r="GE4" s="96"/>
      <c r="GF4" s="94"/>
      <c r="GG4" s="95"/>
      <c r="GH4" s="96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7"/>
      <c r="GT4" s="93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7"/>
      <c r="HL4" s="93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7"/>
      <c r="ID4" s="93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7"/>
      <c r="IV4" s="93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7"/>
    </row>
    <row r="5" spans="1:273" ht="19.5" customHeight="1" x14ac:dyDescent="0.2">
      <c r="B5" s="128" t="str">
        <f>Donnees!$C$21</f>
        <v>Analyse</v>
      </c>
      <c r="C5" s="98">
        <v>5</v>
      </c>
      <c r="D5" s="88"/>
      <c r="E5" s="89"/>
      <c r="F5" s="90"/>
      <c r="G5" s="91"/>
      <c r="H5" s="89"/>
      <c r="I5" s="90"/>
      <c r="J5" s="110"/>
      <c r="K5" s="108"/>
      <c r="L5" s="109"/>
      <c r="M5" s="110"/>
      <c r="N5" s="108"/>
      <c r="O5" s="90"/>
      <c r="P5" s="91"/>
      <c r="Q5" s="89"/>
      <c r="R5" s="90"/>
      <c r="S5" s="91"/>
      <c r="T5" s="89"/>
      <c r="U5" s="92"/>
      <c r="V5" s="88"/>
      <c r="W5" s="89"/>
      <c r="X5" s="90"/>
      <c r="Y5" s="91"/>
      <c r="Z5" s="89"/>
      <c r="AA5" s="90"/>
      <c r="AB5" s="91"/>
      <c r="AC5" s="89"/>
      <c r="AD5" s="90"/>
      <c r="AE5" s="91"/>
      <c r="AF5" s="89"/>
      <c r="AG5" s="90"/>
      <c r="AH5" s="91"/>
      <c r="AI5" s="89"/>
      <c r="AJ5" s="90"/>
      <c r="AK5" s="91"/>
      <c r="AL5" s="89"/>
      <c r="AM5" s="92"/>
      <c r="AN5" s="88"/>
      <c r="AO5" s="89"/>
      <c r="AP5" s="90"/>
      <c r="AQ5" s="91"/>
      <c r="AR5" s="89"/>
      <c r="AS5" s="90"/>
      <c r="AT5" s="91"/>
      <c r="AU5" s="89"/>
      <c r="AV5" s="90"/>
      <c r="AW5" s="91"/>
      <c r="AX5" s="89"/>
      <c r="AY5" s="90"/>
      <c r="AZ5" s="91"/>
      <c r="BA5" s="89"/>
      <c r="BB5" s="90"/>
      <c r="BC5" s="91"/>
      <c r="BD5" s="89"/>
      <c r="BE5" s="92"/>
      <c r="BF5" s="88"/>
      <c r="BG5" s="89"/>
      <c r="BH5" s="90"/>
      <c r="BI5" s="91"/>
      <c r="BJ5" s="89"/>
      <c r="BK5" s="90"/>
      <c r="BL5" s="91"/>
      <c r="BM5" s="89"/>
      <c r="BN5" s="90"/>
      <c r="BO5" s="91"/>
      <c r="BP5" s="89"/>
      <c r="BQ5" s="90"/>
      <c r="BR5" s="91"/>
      <c r="BS5" s="89"/>
      <c r="BT5" s="90"/>
      <c r="BU5" s="91"/>
      <c r="BV5" s="89"/>
      <c r="BW5" s="92"/>
      <c r="BX5" s="88"/>
      <c r="BY5" s="89"/>
      <c r="BZ5" s="90"/>
      <c r="CA5" s="91"/>
      <c r="CB5" s="89"/>
      <c r="CC5" s="90"/>
      <c r="CD5" s="91"/>
      <c r="CE5" s="89"/>
      <c r="CF5" s="90"/>
      <c r="CG5" s="91"/>
      <c r="CH5" s="89"/>
      <c r="CI5" s="90"/>
      <c r="CJ5" s="91"/>
      <c r="CK5" s="89"/>
      <c r="CL5" s="90"/>
      <c r="CM5" s="91"/>
      <c r="CN5" s="89"/>
      <c r="CO5" s="92"/>
      <c r="CP5" s="88"/>
      <c r="CQ5" s="89"/>
      <c r="CR5" s="90"/>
      <c r="CS5" s="91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2"/>
      <c r="DH5" s="88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2"/>
      <c r="DZ5" s="88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2"/>
      <c r="ER5" s="88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2"/>
      <c r="FJ5" s="88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2"/>
      <c r="GB5" s="88"/>
      <c r="GC5" s="89"/>
      <c r="GD5" s="90"/>
      <c r="GE5" s="91"/>
      <c r="GF5" s="89"/>
      <c r="GG5" s="90"/>
      <c r="GH5" s="91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2"/>
      <c r="GT5" s="88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2"/>
      <c r="HL5" s="88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2"/>
      <c r="ID5" s="88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2"/>
      <c r="IV5" s="88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2"/>
    </row>
    <row r="6" spans="1:273" ht="19.5" customHeight="1" thickBot="1" x14ac:dyDescent="0.25">
      <c r="B6" s="125"/>
      <c r="C6" s="99">
        <v>5</v>
      </c>
      <c r="D6" s="93"/>
      <c r="E6" s="94"/>
      <c r="F6" s="95"/>
      <c r="G6" s="96"/>
      <c r="H6" s="94"/>
      <c r="I6" s="95"/>
      <c r="J6" s="117"/>
      <c r="K6" s="115"/>
      <c r="L6" s="116"/>
      <c r="M6" s="117"/>
      <c r="N6" s="115"/>
      <c r="O6" s="95"/>
      <c r="P6" s="96"/>
      <c r="Q6" s="94"/>
      <c r="R6" s="95"/>
      <c r="S6" s="96"/>
      <c r="T6" s="94"/>
      <c r="U6" s="97"/>
      <c r="V6" s="93"/>
      <c r="W6" s="94"/>
      <c r="X6" s="95"/>
      <c r="Y6" s="96"/>
      <c r="Z6" s="94"/>
      <c r="AA6" s="95"/>
      <c r="AB6" s="96"/>
      <c r="AC6" s="94"/>
      <c r="AD6" s="95"/>
      <c r="AE6" s="96"/>
      <c r="AF6" s="94"/>
      <c r="AG6" s="95"/>
      <c r="AH6" s="96"/>
      <c r="AI6" s="94"/>
      <c r="AJ6" s="95"/>
      <c r="AK6" s="96"/>
      <c r="AL6" s="94"/>
      <c r="AM6" s="97"/>
      <c r="AN6" s="93"/>
      <c r="AO6" s="94"/>
      <c r="AP6" s="95"/>
      <c r="AQ6" s="96"/>
      <c r="AR6" s="94"/>
      <c r="AS6" s="95"/>
      <c r="AT6" s="96"/>
      <c r="AU6" s="94"/>
      <c r="AV6" s="95"/>
      <c r="AW6" s="96"/>
      <c r="AX6" s="94"/>
      <c r="AY6" s="95"/>
      <c r="AZ6" s="96"/>
      <c r="BA6" s="94"/>
      <c r="BB6" s="95"/>
      <c r="BC6" s="96"/>
      <c r="BD6" s="94"/>
      <c r="BE6" s="97"/>
      <c r="BF6" s="93"/>
      <c r="BG6" s="94"/>
      <c r="BH6" s="95"/>
      <c r="BI6" s="96"/>
      <c r="BJ6" s="94"/>
      <c r="BK6" s="95"/>
      <c r="BL6" s="96"/>
      <c r="BM6" s="94"/>
      <c r="BN6" s="95"/>
      <c r="BO6" s="96"/>
      <c r="BP6" s="94"/>
      <c r="BQ6" s="95"/>
      <c r="BR6" s="96"/>
      <c r="BS6" s="94"/>
      <c r="BT6" s="95"/>
      <c r="BU6" s="96"/>
      <c r="BV6" s="94"/>
      <c r="BW6" s="97"/>
      <c r="BX6" s="93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7"/>
      <c r="CP6" s="93"/>
      <c r="CQ6" s="94"/>
      <c r="CR6" s="95"/>
      <c r="CS6" s="96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7"/>
      <c r="DH6" s="93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7"/>
      <c r="DZ6" s="93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7"/>
      <c r="ER6" s="93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7"/>
      <c r="FJ6" s="93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7"/>
      <c r="GB6" s="93"/>
      <c r="GC6" s="94"/>
      <c r="GD6" s="95"/>
      <c r="GE6" s="96"/>
      <c r="GF6" s="94"/>
      <c r="GG6" s="95"/>
      <c r="GH6" s="96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7"/>
      <c r="GT6" s="93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7"/>
      <c r="HL6" s="93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7"/>
      <c r="ID6" s="93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7"/>
      <c r="IV6" s="93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7"/>
    </row>
    <row r="7" spans="1:273" ht="19.5" customHeight="1" x14ac:dyDescent="0.2">
      <c r="B7" s="124" t="str">
        <f>Donnees!$C$22</f>
        <v>Prise de connaissance du projet</v>
      </c>
      <c r="C7" s="98">
        <v>3</v>
      </c>
      <c r="D7" s="107"/>
      <c r="E7" s="108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2"/>
      <c r="V7" s="88"/>
      <c r="W7" s="89"/>
      <c r="X7" s="109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2"/>
      <c r="AN7" s="88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2"/>
      <c r="BF7" s="88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2"/>
      <c r="BX7" s="88"/>
      <c r="BY7" s="89"/>
      <c r="BZ7" s="90"/>
      <c r="CA7" s="91"/>
      <c r="CB7" s="89"/>
      <c r="CC7" s="90"/>
      <c r="CD7" s="91"/>
      <c r="CE7" s="89"/>
      <c r="CF7" s="90"/>
      <c r="CG7" s="91"/>
      <c r="CH7" s="89"/>
      <c r="CI7" s="90"/>
      <c r="CJ7" s="91"/>
      <c r="CK7" s="89"/>
      <c r="CL7" s="90"/>
      <c r="CM7" s="91"/>
      <c r="CN7" s="89"/>
      <c r="CO7" s="92"/>
      <c r="CP7" s="88"/>
      <c r="CQ7" s="89"/>
      <c r="CR7" s="90"/>
      <c r="CS7" s="91"/>
      <c r="CT7" s="89"/>
      <c r="CU7" s="90"/>
      <c r="CV7" s="91"/>
      <c r="CW7" s="89"/>
      <c r="CX7" s="90"/>
      <c r="CY7" s="91"/>
      <c r="CZ7" s="89"/>
      <c r="DA7" s="90"/>
      <c r="DB7" s="91"/>
      <c r="DC7" s="89"/>
      <c r="DD7" s="90"/>
      <c r="DE7" s="91"/>
      <c r="DF7" s="89"/>
      <c r="DG7" s="92"/>
      <c r="DH7" s="88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2"/>
      <c r="DZ7" s="88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2"/>
      <c r="ER7" s="88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2"/>
      <c r="FJ7" s="88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2"/>
      <c r="GB7" s="88"/>
      <c r="GC7" s="89"/>
      <c r="GD7" s="90"/>
      <c r="GE7" s="91"/>
      <c r="GF7" s="89"/>
      <c r="GG7" s="90"/>
      <c r="GH7" s="91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2"/>
      <c r="GT7" s="88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89"/>
      <c r="HH7" s="90"/>
      <c r="HI7" s="91"/>
      <c r="HJ7" s="89"/>
      <c r="HK7" s="92"/>
      <c r="HL7" s="88"/>
      <c r="HM7" s="89"/>
      <c r="HN7" s="90"/>
      <c r="HO7" s="91"/>
      <c r="HP7" s="89"/>
      <c r="HQ7" s="90"/>
      <c r="HR7" s="91"/>
      <c r="HS7" s="89"/>
      <c r="HT7" s="90"/>
      <c r="HU7" s="91"/>
      <c r="HV7" s="89"/>
      <c r="HW7" s="90"/>
      <c r="HX7" s="91"/>
      <c r="HY7" s="89"/>
      <c r="HZ7" s="90"/>
      <c r="IA7" s="91"/>
      <c r="IB7" s="89"/>
      <c r="IC7" s="92"/>
      <c r="ID7" s="88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92"/>
      <c r="IV7" s="88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2"/>
    </row>
    <row r="8" spans="1:273" ht="19.5" customHeight="1" thickBot="1" x14ac:dyDescent="0.25">
      <c r="B8" s="125"/>
      <c r="C8" s="99">
        <v>3</v>
      </c>
      <c r="D8" s="114"/>
      <c r="E8" s="115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7"/>
      <c r="V8" s="93"/>
      <c r="W8" s="94"/>
      <c r="X8" s="116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7"/>
      <c r="AN8" s="93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7"/>
      <c r="BF8" s="93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7"/>
      <c r="BX8" s="93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7"/>
      <c r="CP8" s="93"/>
      <c r="CQ8" s="94"/>
      <c r="CR8" s="95"/>
      <c r="CS8" s="96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7"/>
      <c r="DH8" s="93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7"/>
      <c r="DZ8" s="93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7"/>
      <c r="ER8" s="93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7"/>
      <c r="FJ8" s="93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7"/>
      <c r="GB8" s="93"/>
      <c r="GC8" s="94"/>
      <c r="GD8" s="95"/>
      <c r="GE8" s="96"/>
      <c r="GF8" s="94"/>
      <c r="GG8" s="95"/>
      <c r="GH8" s="96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7"/>
      <c r="GT8" s="93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7"/>
      <c r="HL8" s="93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7"/>
      <c r="ID8" s="93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7"/>
      <c r="IV8" s="93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7"/>
    </row>
    <row r="9" spans="1:273" ht="19.5" customHeight="1" x14ac:dyDescent="0.2">
      <c r="B9" s="124" t="str">
        <f>Donnees!$C$23</f>
        <v>Création des maquettes</v>
      </c>
      <c r="C9" s="98">
        <v>10</v>
      </c>
      <c r="D9" s="88"/>
      <c r="E9" s="89"/>
      <c r="F9" s="109"/>
      <c r="G9" s="110"/>
      <c r="H9" s="108"/>
      <c r="I9" s="109"/>
      <c r="J9" s="91"/>
      <c r="K9" s="89"/>
      <c r="L9" s="90"/>
      <c r="M9" s="91"/>
      <c r="N9" s="89"/>
      <c r="O9" s="90"/>
      <c r="P9" s="91"/>
      <c r="Q9" s="89"/>
      <c r="R9" s="109"/>
      <c r="S9" s="110"/>
      <c r="T9" s="108"/>
      <c r="U9" s="111"/>
      <c r="V9" s="107"/>
      <c r="W9" s="108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2"/>
      <c r="AN9" s="88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2"/>
      <c r="BF9" s="88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2"/>
      <c r="BX9" s="88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2"/>
      <c r="CP9" s="88"/>
      <c r="CQ9" s="89"/>
      <c r="CR9" s="90"/>
      <c r="CS9" s="91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2"/>
      <c r="DH9" s="88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2"/>
      <c r="DZ9" s="88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2"/>
      <c r="ER9" s="88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2"/>
      <c r="FJ9" s="88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2"/>
      <c r="GB9" s="88"/>
      <c r="GC9" s="89"/>
      <c r="GD9" s="90"/>
      <c r="GE9" s="91"/>
      <c r="GF9" s="89"/>
      <c r="GG9" s="90"/>
      <c r="GH9" s="91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2"/>
      <c r="GT9" s="88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2"/>
      <c r="HL9" s="88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2"/>
      <c r="ID9" s="88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2"/>
      <c r="IV9" s="88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2"/>
    </row>
    <row r="10" spans="1:273" ht="19.5" customHeight="1" thickBot="1" x14ac:dyDescent="0.25">
      <c r="B10" s="125"/>
      <c r="C10" s="99">
        <v>10</v>
      </c>
      <c r="D10" s="93"/>
      <c r="E10" s="94"/>
      <c r="F10" s="116"/>
      <c r="G10" s="117"/>
      <c r="H10" s="115"/>
      <c r="I10" s="116"/>
      <c r="J10" s="96"/>
      <c r="K10" s="94"/>
      <c r="L10" s="95"/>
      <c r="M10" s="96"/>
      <c r="N10" s="94"/>
      <c r="O10" s="95"/>
      <c r="P10" s="96"/>
      <c r="Q10" s="94"/>
      <c r="R10" s="116"/>
      <c r="S10" s="117"/>
      <c r="T10" s="115"/>
      <c r="U10" s="118"/>
      <c r="V10" s="114"/>
      <c r="W10" s="115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7"/>
      <c r="AN10" s="93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7"/>
      <c r="BF10" s="93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7"/>
      <c r="BX10" s="93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7"/>
      <c r="CP10" s="93"/>
      <c r="CQ10" s="94"/>
      <c r="CR10" s="95"/>
      <c r="CS10" s="96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7"/>
      <c r="DH10" s="93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7"/>
      <c r="DZ10" s="93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7"/>
      <c r="ER10" s="93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7"/>
      <c r="FJ10" s="93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7"/>
      <c r="GB10" s="93"/>
      <c r="GC10" s="94"/>
      <c r="GD10" s="95"/>
      <c r="GE10" s="96"/>
      <c r="GF10" s="94"/>
      <c r="GG10" s="95"/>
      <c r="GH10" s="96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7"/>
      <c r="GT10" s="93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7"/>
      <c r="HL10" s="93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7"/>
      <c r="ID10" s="93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7"/>
      <c r="IV10" s="93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7"/>
    </row>
    <row r="11" spans="1:273" ht="19.5" customHeight="1" x14ac:dyDescent="0.2">
      <c r="B11" s="124" t="str">
        <f>Donnees!$C$24</f>
        <v>Documentation</v>
      </c>
      <c r="C11" s="98">
        <v>42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2"/>
      <c r="V11" s="88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2"/>
      <c r="AN11" s="88"/>
      <c r="AO11" s="89"/>
      <c r="AP11" s="109"/>
      <c r="AQ11" s="110"/>
      <c r="AR11" s="108"/>
      <c r="AS11" s="109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2"/>
      <c r="BF11" s="88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2"/>
      <c r="BX11" s="88"/>
      <c r="BY11" s="89"/>
      <c r="BZ11" s="109"/>
      <c r="CA11" s="110"/>
      <c r="CB11" s="108"/>
      <c r="CC11" s="90"/>
      <c r="CD11" s="91"/>
      <c r="CE11" s="89"/>
      <c r="CF11" s="90"/>
      <c r="CG11" s="91"/>
      <c r="CH11" s="89"/>
      <c r="CI11" s="90"/>
      <c r="CJ11" s="91"/>
      <c r="CK11" s="89"/>
      <c r="CL11" s="90"/>
      <c r="CM11" s="91"/>
      <c r="CN11" s="89"/>
      <c r="CO11" s="92"/>
      <c r="CP11" s="88"/>
      <c r="CQ11" s="89"/>
      <c r="CR11" s="109"/>
      <c r="CS11" s="110"/>
      <c r="CT11" s="108"/>
      <c r="CU11" s="90"/>
      <c r="CV11" s="91"/>
      <c r="CW11" s="89"/>
      <c r="CX11" s="90"/>
      <c r="CY11" s="91"/>
      <c r="CZ11" s="89"/>
      <c r="DA11" s="90"/>
      <c r="DB11" s="91"/>
      <c r="DC11" s="89"/>
      <c r="DD11" s="109"/>
      <c r="DE11" s="110"/>
      <c r="DF11" s="89"/>
      <c r="DG11" s="92"/>
      <c r="DH11" s="88"/>
      <c r="DI11" s="89"/>
      <c r="DJ11" s="90"/>
      <c r="DK11" s="9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2"/>
      <c r="DZ11" s="88"/>
      <c r="EA11" s="89"/>
      <c r="EB11" s="90"/>
      <c r="EC11" s="91"/>
      <c r="ED11" s="89"/>
      <c r="EE11" s="109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2"/>
      <c r="ER11" s="88"/>
      <c r="ES11" s="89"/>
      <c r="ET11" s="90"/>
      <c r="EU11" s="91"/>
      <c r="EV11" s="89"/>
      <c r="EW11" s="109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2"/>
      <c r="FJ11" s="88"/>
      <c r="FK11" s="89"/>
      <c r="FL11" s="90"/>
      <c r="FM11" s="110"/>
      <c r="FN11" s="108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2"/>
      <c r="GB11" s="88"/>
      <c r="GC11" s="89"/>
      <c r="GD11" s="90"/>
      <c r="GE11" s="91"/>
      <c r="GF11" s="108"/>
      <c r="GG11" s="90"/>
      <c r="GH11" s="91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2"/>
      <c r="GT11" s="88"/>
      <c r="GU11" s="89"/>
      <c r="GV11" s="90"/>
      <c r="GW11" s="91"/>
      <c r="GX11" s="108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2"/>
      <c r="HL11" s="88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108"/>
      <c r="HZ11" s="109"/>
      <c r="IA11" s="110"/>
      <c r="IB11" s="108"/>
      <c r="IC11" s="111"/>
      <c r="ID11" s="107"/>
      <c r="IE11" s="108"/>
      <c r="IF11" s="109"/>
      <c r="IG11" s="110"/>
      <c r="IH11" s="108"/>
      <c r="II11" s="90"/>
      <c r="IJ11" s="110"/>
      <c r="IK11" s="108"/>
      <c r="IL11" s="109"/>
      <c r="IM11" s="110"/>
      <c r="IN11" s="108"/>
      <c r="IO11" s="109"/>
      <c r="IP11" s="110"/>
      <c r="IQ11" s="108"/>
      <c r="IR11" s="109"/>
      <c r="IS11" s="110"/>
      <c r="IT11" s="108"/>
      <c r="IU11" s="111"/>
      <c r="IV11" s="88"/>
      <c r="IW11" s="89"/>
      <c r="IX11" s="90"/>
      <c r="IY11" s="91"/>
      <c r="IZ11" s="108"/>
      <c r="JA11" s="109"/>
      <c r="JB11" s="91"/>
      <c r="JC11" s="89"/>
      <c r="JD11" s="90"/>
      <c r="JE11" s="91"/>
      <c r="JF11" s="89"/>
      <c r="JG11" s="90"/>
      <c r="JH11" s="91"/>
      <c r="JI11" s="89"/>
      <c r="JJ11" s="90"/>
      <c r="JK11" s="91"/>
      <c r="JL11" s="89"/>
      <c r="JM11" s="92"/>
    </row>
    <row r="12" spans="1:273" ht="19.5" customHeight="1" thickBot="1" x14ac:dyDescent="0.25">
      <c r="B12" s="125"/>
      <c r="C12" s="99">
        <v>4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7"/>
      <c r="V12" s="93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7"/>
      <c r="AN12" s="114"/>
      <c r="AO12" s="115"/>
      <c r="AP12" s="116"/>
      <c r="AQ12" s="117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7"/>
      <c r="BF12" s="93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7"/>
      <c r="BX12" s="93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7"/>
      <c r="CP12" s="93"/>
      <c r="CQ12" s="94"/>
      <c r="CR12" s="95"/>
      <c r="CS12" s="96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7"/>
      <c r="DH12" s="93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7"/>
      <c r="DZ12" s="93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7"/>
      <c r="ER12" s="93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7"/>
      <c r="FJ12" s="93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7"/>
      <c r="GB12" s="93"/>
      <c r="GC12" s="94"/>
      <c r="GD12" s="95"/>
      <c r="GE12" s="96"/>
      <c r="GF12" s="94"/>
      <c r="GG12" s="95"/>
      <c r="GH12" s="96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7"/>
      <c r="GT12" s="93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7"/>
      <c r="HL12" s="93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7"/>
      <c r="ID12" s="93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7"/>
      <c r="IV12" s="93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7"/>
    </row>
    <row r="13" spans="1:273" ht="19.5" customHeight="1" x14ac:dyDescent="0.2">
      <c r="B13" s="124" t="str">
        <f>Donnees!$C$25</f>
        <v>Création de la planification</v>
      </c>
      <c r="C13" s="98">
        <v>3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2"/>
      <c r="V13" s="88"/>
      <c r="W13" s="89"/>
      <c r="X13" s="90"/>
      <c r="Y13" s="110"/>
      <c r="Z13" s="108"/>
      <c r="AA13" s="109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2"/>
      <c r="AN13" s="88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2"/>
      <c r="BF13" s="88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2"/>
      <c r="BX13" s="88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2"/>
      <c r="CP13" s="88"/>
      <c r="CQ13" s="89"/>
      <c r="CR13" s="90"/>
      <c r="CS13" s="91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2"/>
      <c r="DH13" s="88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2"/>
      <c r="DZ13" s="88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90"/>
      <c r="EO13" s="91"/>
      <c r="EP13" s="89"/>
      <c r="EQ13" s="92"/>
      <c r="ER13" s="88"/>
      <c r="ES13" s="89"/>
      <c r="ET13" s="90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2"/>
      <c r="FJ13" s="88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2"/>
      <c r="GB13" s="88"/>
      <c r="GC13" s="89"/>
      <c r="GD13" s="90"/>
      <c r="GE13" s="91"/>
      <c r="GF13" s="89"/>
      <c r="GG13" s="90"/>
      <c r="GH13" s="91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2"/>
      <c r="GT13" s="88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2"/>
      <c r="HL13" s="88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2"/>
      <c r="ID13" s="88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2"/>
      <c r="IV13" s="88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2"/>
    </row>
    <row r="14" spans="1:273" ht="19.5" customHeight="1" thickBot="1" x14ac:dyDescent="0.25">
      <c r="B14" s="125"/>
      <c r="C14" s="99">
        <v>3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7"/>
      <c r="V14" s="93"/>
      <c r="W14" s="94"/>
      <c r="X14" s="95"/>
      <c r="Y14" s="117"/>
      <c r="Z14" s="115"/>
      <c r="AA14" s="116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7"/>
      <c r="AN14" s="93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7"/>
      <c r="BF14" s="93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7"/>
      <c r="BX14" s="93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7"/>
      <c r="CP14" s="93"/>
      <c r="CQ14" s="94"/>
      <c r="CR14" s="95"/>
      <c r="CS14" s="96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7"/>
      <c r="DH14" s="93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7"/>
      <c r="DZ14" s="93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7"/>
      <c r="ER14" s="93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7"/>
      <c r="FJ14" s="93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7"/>
      <c r="GB14" s="93"/>
      <c r="GC14" s="94"/>
      <c r="GD14" s="95"/>
      <c r="GE14" s="96"/>
      <c r="GF14" s="94"/>
      <c r="GG14" s="95"/>
      <c r="GH14" s="96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7"/>
      <c r="GT14" s="93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7"/>
      <c r="HL14" s="93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7"/>
      <c r="ID14" s="93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7"/>
      <c r="IV14" s="93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7"/>
    </row>
    <row r="15" spans="1:273" ht="19.5" customHeight="1" x14ac:dyDescent="0.2">
      <c r="B15" s="124" t="str">
        <f>Donnees!$C$26</f>
        <v>Mise en place du dépôt GitHub</v>
      </c>
      <c r="C15" s="98">
        <v>3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109"/>
      <c r="P15" s="110"/>
      <c r="Q15" s="108"/>
      <c r="R15" s="90"/>
      <c r="S15" s="91"/>
      <c r="T15" s="89"/>
      <c r="U15" s="92"/>
      <c r="V15" s="88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2"/>
      <c r="AN15" s="88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2"/>
      <c r="BF15" s="88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2"/>
      <c r="BX15" s="88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2"/>
      <c r="CP15" s="88"/>
      <c r="CQ15" s="89"/>
      <c r="CR15" s="90"/>
      <c r="CS15" s="91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2"/>
      <c r="DH15" s="88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2"/>
      <c r="DZ15" s="88"/>
      <c r="EA15" s="89"/>
      <c r="EB15" s="90"/>
      <c r="EC15" s="91"/>
      <c r="ED15" s="89"/>
      <c r="EE15" s="90"/>
      <c r="EF15" s="91"/>
      <c r="EG15" s="89"/>
      <c r="EH15" s="90"/>
      <c r="EI15" s="91"/>
      <c r="EJ15" s="89"/>
      <c r="EK15" s="90"/>
      <c r="EL15" s="91"/>
      <c r="EM15" s="89"/>
      <c r="EN15" s="90"/>
      <c r="EO15" s="91"/>
      <c r="EP15" s="89"/>
      <c r="EQ15" s="92"/>
      <c r="ER15" s="88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2"/>
      <c r="FJ15" s="88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2"/>
      <c r="GB15" s="88"/>
      <c r="GC15" s="89"/>
      <c r="GD15" s="90"/>
      <c r="GE15" s="91"/>
      <c r="GF15" s="89"/>
      <c r="GG15" s="90"/>
      <c r="GH15" s="91"/>
      <c r="GI15" s="89"/>
      <c r="GJ15" s="90"/>
      <c r="GK15" s="91"/>
      <c r="GL15" s="89"/>
      <c r="GM15" s="90"/>
      <c r="GN15" s="91"/>
      <c r="GO15" s="89"/>
      <c r="GP15" s="90"/>
      <c r="GQ15" s="91"/>
      <c r="GR15" s="89"/>
      <c r="GS15" s="92"/>
      <c r="GT15" s="88"/>
      <c r="GU15" s="89"/>
      <c r="GV15" s="90"/>
      <c r="GW15" s="91"/>
      <c r="GX15" s="89"/>
      <c r="GY15" s="90"/>
      <c r="GZ15" s="91"/>
      <c r="HA15" s="89"/>
      <c r="HB15" s="90"/>
      <c r="HC15" s="91"/>
      <c r="HD15" s="89"/>
      <c r="HE15" s="90"/>
      <c r="HF15" s="91"/>
      <c r="HG15" s="89"/>
      <c r="HH15" s="90"/>
      <c r="HI15" s="91"/>
      <c r="HJ15" s="89"/>
      <c r="HK15" s="92"/>
      <c r="HL15" s="88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2"/>
      <c r="ID15" s="88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2"/>
      <c r="IV15" s="88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2"/>
    </row>
    <row r="16" spans="1:273" ht="19.5" customHeight="1" thickBot="1" x14ac:dyDescent="0.25">
      <c r="A16" s="100"/>
      <c r="B16" s="125"/>
      <c r="C16" s="99">
        <v>3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116"/>
      <c r="P16" s="117"/>
      <c r="Q16" s="115"/>
      <c r="R16" s="95"/>
      <c r="S16" s="96"/>
      <c r="T16" s="94"/>
      <c r="U16" s="97"/>
      <c r="V16" s="93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7"/>
      <c r="AN16" s="93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7"/>
      <c r="BF16" s="93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7"/>
      <c r="BX16" s="93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7"/>
      <c r="CP16" s="93"/>
      <c r="CQ16" s="94"/>
      <c r="CR16" s="95"/>
      <c r="CS16" s="96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7"/>
      <c r="DH16" s="93"/>
      <c r="DI16" s="94"/>
      <c r="DJ16" s="95"/>
      <c r="DK16" s="96"/>
      <c r="DL16" s="94"/>
      <c r="DM16" s="95"/>
      <c r="DN16" s="96"/>
      <c r="DO16" s="94"/>
      <c r="DP16" s="95"/>
      <c r="DQ16" s="96"/>
      <c r="DR16" s="94"/>
      <c r="DS16" s="95"/>
      <c r="DT16" s="96"/>
      <c r="DU16" s="94"/>
      <c r="DV16" s="95"/>
      <c r="DW16" s="96"/>
      <c r="DX16" s="94"/>
      <c r="DY16" s="97"/>
      <c r="DZ16" s="93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7"/>
      <c r="ER16" s="93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7"/>
      <c r="FJ16" s="93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7"/>
      <c r="GB16" s="93"/>
      <c r="GC16" s="94"/>
      <c r="GD16" s="95"/>
      <c r="GE16" s="96"/>
      <c r="GF16" s="94"/>
      <c r="GG16" s="95"/>
      <c r="GH16" s="96"/>
      <c r="GI16" s="94"/>
      <c r="GJ16" s="95"/>
      <c r="GK16" s="96"/>
      <c r="GL16" s="94"/>
      <c r="GM16" s="95"/>
      <c r="GN16" s="96"/>
      <c r="GO16" s="94"/>
      <c r="GP16" s="95"/>
      <c r="GQ16" s="96"/>
      <c r="GR16" s="94"/>
      <c r="GS16" s="97"/>
      <c r="GT16" s="93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7"/>
      <c r="HL16" s="93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7"/>
      <c r="ID16" s="93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7"/>
      <c r="IV16" s="93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7"/>
    </row>
    <row r="17" spans="2:273" ht="19.5" customHeight="1" x14ac:dyDescent="0.2">
      <c r="B17" s="124" t="str">
        <f>Donnees!$C$27</f>
        <v>Création du layout</v>
      </c>
      <c r="C17" s="98">
        <v>0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2"/>
      <c r="V17" s="88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2"/>
      <c r="AN17" s="88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2"/>
      <c r="BF17" s="88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90"/>
      <c r="BR17" s="91"/>
      <c r="BS17" s="89"/>
      <c r="BT17" s="90"/>
      <c r="BU17" s="91"/>
      <c r="BV17" s="89"/>
      <c r="BW17" s="92"/>
      <c r="BX17" s="88"/>
      <c r="BY17" s="8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2"/>
      <c r="CP17" s="88"/>
      <c r="CQ17" s="89"/>
      <c r="CR17" s="90"/>
      <c r="CS17" s="91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2"/>
      <c r="DH17" s="88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2"/>
      <c r="DZ17" s="88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2"/>
      <c r="ER17" s="88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2"/>
      <c r="FJ17" s="88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2"/>
      <c r="GB17" s="88"/>
      <c r="GC17" s="89"/>
      <c r="GD17" s="90"/>
      <c r="GE17" s="91"/>
      <c r="GF17" s="89"/>
      <c r="GG17" s="90"/>
      <c r="GH17" s="91"/>
      <c r="GI17" s="89"/>
      <c r="GJ17" s="90"/>
      <c r="GK17" s="91"/>
      <c r="GL17" s="89"/>
      <c r="GM17" s="90"/>
      <c r="GN17" s="91"/>
      <c r="GO17" s="89"/>
      <c r="GP17" s="90"/>
      <c r="GQ17" s="91"/>
      <c r="GR17" s="89"/>
      <c r="GS17" s="92"/>
      <c r="GT17" s="88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2"/>
      <c r="HL17" s="88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90"/>
      <c r="HX17" s="91"/>
      <c r="HY17" s="89"/>
      <c r="HZ17" s="90"/>
      <c r="IA17" s="91"/>
      <c r="IB17" s="89"/>
      <c r="IC17" s="92"/>
      <c r="ID17" s="88"/>
      <c r="IE17" s="89"/>
      <c r="IF17" s="90"/>
      <c r="IG17" s="91"/>
      <c r="IH17" s="89"/>
      <c r="II17" s="90"/>
      <c r="IJ17" s="91"/>
      <c r="IK17" s="89"/>
      <c r="IL17" s="90"/>
      <c r="IM17" s="91"/>
      <c r="IN17" s="89"/>
      <c r="IO17" s="90"/>
      <c r="IP17" s="91"/>
      <c r="IQ17" s="89"/>
      <c r="IR17" s="90"/>
      <c r="IS17" s="91"/>
      <c r="IT17" s="89"/>
      <c r="IU17" s="92"/>
      <c r="IV17" s="88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2"/>
    </row>
    <row r="18" spans="2:273" ht="19.5" customHeight="1" thickBot="1" x14ac:dyDescent="0.25">
      <c r="B18" s="125"/>
      <c r="C18" s="99">
        <v>0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7"/>
      <c r="V18" s="93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7"/>
      <c r="AN18" s="93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7"/>
      <c r="BF18" s="93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7"/>
      <c r="BX18" s="93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97"/>
      <c r="CP18" s="93"/>
      <c r="CQ18" s="94"/>
      <c r="CR18" s="95"/>
      <c r="CS18" s="96"/>
      <c r="CT18" s="94"/>
      <c r="CU18" s="95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7"/>
      <c r="DH18" s="93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7"/>
      <c r="DZ18" s="93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7"/>
      <c r="ER18" s="93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7"/>
      <c r="FJ18" s="93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7"/>
      <c r="GB18" s="93"/>
      <c r="GC18" s="94"/>
      <c r="GD18" s="95"/>
      <c r="GE18" s="96"/>
      <c r="GF18" s="94"/>
      <c r="GG18" s="95"/>
      <c r="GH18" s="96"/>
      <c r="GI18" s="94"/>
      <c r="GJ18" s="95"/>
      <c r="GK18" s="96"/>
      <c r="GL18" s="94"/>
      <c r="GM18" s="95"/>
      <c r="GN18" s="96"/>
      <c r="GO18" s="94"/>
      <c r="GP18" s="95"/>
      <c r="GQ18" s="96"/>
      <c r="GR18" s="94"/>
      <c r="GS18" s="97"/>
      <c r="GT18" s="93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7"/>
      <c r="HL18" s="93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7"/>
      <c r="ID18" s="93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7"/>
      <c r="IV18" s="93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7"/>
    </row>
    <row r="19" spans="2:273" ht="19.5" customHeight="1" x14ac:dyDescent="0.2">
      <c r="B19" s="124" t="str">
        <f>Donnees!$C$28</f>
        <v>Création de la grille de test</v>
      </c>
      <c r="C19" s="98">
        <v>11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2"/>
      <c r="V19" s="88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2"/>
      <c r="AN19" s="88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2"/>
      <c r="BF19" s="88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2"/>
      <c r="BX19" s="88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2"/>
      <c r="CP19" s="88"/>
      <c r="CQ19" s="89"/>
      <c r="CR19" s="90"/>
      <c r="CS19" s="91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108"/>
      <c r="DG19" s="111"/>
      <c r="DH19" s="107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2"/>
      <c r="DZ19" s="88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91"/>
      <c r="EP19" s="89"/>
      <c r="EQ19" s="92"/>
      <c r="ER19" s="88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109"/>
      <c r="FG19" s="91"/>
      <c r="FH19" s="89"/>
      <c r="FI19" s="92"/>
      <c r="FJ19" s="88"/>
      <c r="FK19" s="89"/>
      <c r="FL19" s="90"/>
      <c r="FM19" s="91"/>
      <c r="FN19" s="89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2"/>
      <c r="GB19" s="88"/>
      <c r="GC19" s="89"/>
      <c r="GD19" s="90"/>
      <c r="GE19" s="91"/>
      <c r="GF19" s="89"/>
      <c r="GG19" s="90"/>
      <c r="GH19" s="91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2"/>
      <c r="GT19" s="88"/>
      <c r="GU19" s="89"/>
      <c r="GV19" s="90"/>
      <c r="GW19" s="91"/>
      <c r="GX19" s="89"/>
      <c r="GY19" s="90"/>
      <c r="GZ19" s="110"/>
      <c r="HA19" s="108"/>
      <c r="HB19" s="109"/>
      <c r="HC19" s="110"/>
      <c r="HD19" s="108"/>
      <c r="HE19" s="90"/>
      <c r="HF19" s="91"/>
      <c r="HG19" s="89"/>
      <c r="HH19" s="90"/>
      <c r="HI19" s="91"/>
      <c r="HJ19" s="89"/>
      <c r="HK19" s="92"/>
      <c r="HL19" s="88"/>
      <c r="HM19" s="89"/>
      <c r="HN19" s="90"/>
      <c r="HO19" s="91"/>
      <c r="HP19" s="89"/>
      <c r="HQ19" s="90"/>
      <c r="HR19" s="110"/>
      <c r="HS19" s="108"/>
      <c r="HT19" s="90"/>
      <c r="HU19" s="91"/>
      <c r="HV19" s="89"/>
      <c r="HW19" s="90"/>
      <c r="HX19" s="91"/>
      <c r="HY19" s="89"/>
      <c r="HZ19" s="90"/>
      <c r="IA19" s="91"/>
      <c r="IB19" s="89"/>
      <c r="IC19" s="92"/>
      <c r="ID19" s="88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2"/>
      <c r="IV19" s="88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91"/>
      <c r="JL19" s="89"/>
      <c r="JM19" s="92"/>
    </row>
    <row r="20" spans="2:273" ht="19.5" customHeight="1" thickBot="1" x14ac:dyDescent="0.25">
      <c r="B20" s="125"/>
      <c r="C20" s="99">
        <v>0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7"/>
      <c r="V20" s="93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7"/>
      <c r="AN20" s="93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7"/>
      <c r="BF20" s="93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7"/>
      <c r="BX20" s="93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7"/>
      <c r="CP20" s="93"/>
      <c r="CQ20" s="94"/>
      <c r="CR20" s="95"/>
      <c r="CS20" s="96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7"/>
      <c r="DH20" s="93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97"/>
      <c r="DZ20" s="93"/>
      <c r="EA20" s="94"/>
      <c r="EB20" s="95"/>
      <c r="EC20" s="96"/>
      <c r="ED20" s="94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7"/>
      <c r="ER20" s="93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7"/>
      <c r="FJ20" s="93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7"/>
      <c r="GB20" s="93"/>
      <c r="GC20" s="94"/>
      <c r="GD20" s="95"/>
      <c r="GE20" s="96"/>
      <c r="GF20" s="94"/>
      <c r="GG20" s="95"/>
      <c r="GH20" s="96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7"/>
      <c r="GT20" s="93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7"/>
      <c r="HL20" s="93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7"/>
      <c r="ID20" s="93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7"/>
      <c r="IV20" s="93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7"/>
    </row>
    <row r="21" spans="2:273" ht="19.5" customHeight="1" x14ac:dyDescent="0.2">
      <c r="B21" s="124" t="str">
        <f>Donnees!$C$29</f>
        <v>Tests</v>
      </c>
      <c r="C21" s="98">
        <v>11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2"/>
      <c r="V21" s="88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2"/>
      <c r="AN21" s="88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2"/>
      <c r="BF21" s="88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2"/>
      <c r="BX21" s="88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2"/>
      <c r="CP21" s="88"/>
      <c r="CQ21" s="89"/>
      <c r="CR21" s="90"/>
      <c r="CS21" s="91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2"/>
      <c r="DH21" s="88"/>
      <c r="DI21" s="108"/>
      <c r="DJ21" s="109"/>
      <c r="DK21" s="91"/>
      <c r="DL21" s="89"/>
      <c r="DM21" s="90"/>
      <c r="DN21" s="91"/>
      <c r="DO21" s="89"/>
      <c r="DP21" s="90"/>
      <c r="DQ21" s="91"/>
      <c r="DR21" s="89"/>
      <c r="DS21" s="90"/>
      <c r="DT21" s="91"/>
      <c r="DU21" s="89"/>
      <c r="DV21" s="90"/>
      <c r="DW21" s="91"/>
      <c r="DX21" s="89"/>
      <c r="DY21" s="92"/>
      <c r="DZ21" s="88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2"/>
      <c r="ER21" s="88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110"/>
      <c r="FH21" s="108"/>
      <c r="FI21" s="92"/>
      <c r="FJ21" s="88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2"/>
      <c r="GB21" s="88"/>
      <c r="GC21" s="89"/>
      <c r="GD21" s="90"/>
      <c r="GE21" s="91"/>
      <c r="GF21" s="89"/>
      <c r="GG21" s="90"/>
      <c r="GH21" s="91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2"/>
      <c r="GT21" s="88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109"/>
      <c r="HF21" s="110"/>
      <c r="HG21" s="108"/>
      <c r="HH21" s="109"/>
      <c r="HI21" s="110"/>
      <c r="HJ21" s="89"/>
      <c r="HK21" s="92"/>
      <c r="HL21" s="88"/>
      <c r="HM21" s="89"/>
      <c r="HN21" s="90"/>
      <c r="HO21" s="91"/>
      <c r="HP21" s="89"/>
      <c r="HQ21" s="90"/>
      <c r="HR21" s="91"/>
      <c r="HS21" s="89"/>
      <c r="HT21" s="109"/>
      <c r="HU21" s="110"/>
      <c r="HV21" s="89"/>
      <c r="HW21" s="90"/>
      <c r="HX21" s="91"/>
      <c r="HY21" s="89"/>
      <c r="HZ21" s="90"/>
      <c r="IA21" s="91"/>
      <c r="IB21" s="89"/>
      <c r="IC21" s="92"/>
      <c r="ID21" s="88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2"/>
      <c r="IV21" s="88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2"/>
    </row>
    <row r="22" spans="2:273" ht="19.5" customHeight="1" thickBot="1" x14ac:dyDescent="0.25">
      <c r="B22" s="125"/>
      <c r="C22" s="99">
        <v>0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7"/>
      <c r="V22" s="93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7"/>
      <c r="AN22" s="93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7"/>
      <c r="BF22" s="93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7"/>
      <c r="BX22" s="93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7"/>
      <c r="CP22" s="93"/>
      <c r="CQ22" s="94"/>
      <c r="CR22" s="95"/>
      <c r="CS22" s="96"/>
      <c r="CT22" s="94"/>
      <c r="CU22" s="95"/>
      <c r="CV22" s="96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97"/>
      <c r="DH22" s="93"/>
      <c r="DI22" s="94"/>
      <c r="DJ22" s="95"/>
      <c r="DK22" s="96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7"/>
      <c r="DZ22" s="93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7"/>
      <c r="ER22" s="93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7"/>
      <c r="FJ22" s="93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7"/>
      <c r="GB22" s="93"/>
      <c r="GC22" s="94"/>
      <c r="GD22" s="95"/>
      <c r="GE22" s="96"/>
      <c r="GF22" s="94"/>
      <c r="GG22" s="95"/>
      <c r="GH22" s="96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97"/>
      <c r="GT22" s="93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7"/>
      <c r="HL22" s="93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7"/>
      <c r="ID22" s="93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7"/>
      <c r="IV22" s="93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7"/>
    </row>
    <row r="23" spans="2:273" ht="19.5" customHeight="1" x14ac:dyDescent="0.2">
      <c r="B23" s="124" t="str">
        <f>Donnees!$C$30</f>
        <v>Edition du journal de travail</v>
      </c>
      <c r="C23" s="98">
        <v>14</v>
      </c>
      <c r="D23" s="88"/>
      <c r="E23" s="89"/>
      <c r="F23" s="90"/>
      <c r="G23" s="91"/>
      <c r="H23" s="89"/>
      <c r="I23" s="90"/>
      <c r="J23" s="91"/>
      <c r="K23" s="89"/>
      <c r="L23" s="90"/>
      <c r="M23" s="91"/>
      <c r="N23" s="89"/>
      <c r="O23" s="90"/>
      <c r="P23" s="91"/>
      <c r="Q23" s="89"/>
      <c r="R23" s="90"/>
      <c r="S23" s="91"/>
      <c r="T23" s="89"/>
      <c r="U23" s="92"/>
      <c r="V23" s="88"/>
      <c r="W23" s="89"/>
      <c r="X23" s="90"/>
      <c r="Y23" s="91"/>
      <c r="Z23" s="89"/>
      <c r="AA23" s="90"/>
      <c r="AB23" s="91"/>
      <c r="AC23" s="89"/>
      <c r="AD23" s="90"/>
      <c r="AE23" s="91"/>
      <c r="AF23" s="89"/>
      <c r="AG23" s="90"/>
      <c r="AH23" s="91"/>
      <c r="AI23" s="89"/>
      <c r="AJ23" s="90"/>
      <c r="AK23" s="91"/>
      <c r="AL23" s="108"/>
      <c r="AM23" s="92"/>
      <c r="AN23" s="88"/>
      <c r="AO23" s="89"/>
      <c r="AP23" s="90"/>
      <c r="AQ23" s="91"/>
      <c r="AR23" s="89"/>
      <c r="AS23" s="90"/>
      <c r="AT23" s="91"/>
      <c r="AU23" s="89"/>
      <c r="AV23" s="90"/>
      <c r="AW23" s="91"/>
      <c r="AX23" s="89"/>
      <c r="AY23" s="90"/>
      <c r="AZ23" s="91"/>
      <c r="BA23" s="89"/>
      <c r="BB23" s="90"/>
      <c r="BC23" s="91"/>
      <c r="BD23" s="89"/>
      <c r="BE23" s="92"/>
      <c r="BF23" s="88"/>
      <c r="BG23" s="89"/>
      <c r="BH23" s="90"/>
      <c r="BI23" s="91"/>
      <c r="BJ23" s="89"/>
      <c r="BK23" s="90"/>
      <c r="BL23" s="91"/>
      <c r="BM23" s="89"/>
      <c r="BN23" s="90"/>
      <c r="BO23" s="91"/>
      <c r="BP23" s="89"/>
      <c r="BQ23" s="90"/>
      <c r="BR23" s="91"/>
      <c r="BS23" s="89"/>
      <c r="BT23" s="90"/>
      <c r="BU23" s="91"/>
      <c r="BV23" s="89"/>
      <c r="BW23" s="92"/>
      <c r="BX23" s="88"/>
      <c r="BY23" s="89"/>
      <c r="BZ23" s="90"/>
      <c r="CA23" s="91"/>
      <c r="CB23" s="89"/>
      <c r="CC23" s="109"/>
      <c r="CD23" s="91"/>
      <c r="CE23" s="89"/>
      <c r="CF23" s="90"/>
      <c r="CG23" s="91"/>
      <c r="CH23" s="89"/>
      <c r="CI23" s="90"/>
      <c r="CJ23" s="91"/>
      <c r="CK23" s="89"/>
      <c r="CL23" s="90"/>
      <c r="CM23" s="91"/>
      <c r="CN23" s="89"/>
      <c r="CO23" s="92"/>
      <c r="CP23" s="88"/>
      <c r="CQ23" s="89"/>
      <c r="CR23" s="90"/>
      <c r="CS23" s="91"/>
      <c r="CT23" s="89"/>
      <c r="CU23" s="109"/>
      <c r="CV23" s="91"/>
      <c r="CW23" s="89"/>
      <c r="CX23" s="90"/>
      <c r="CY23" s="91"/>
      <c r="CZ23" s="89"/>
      <c r="DA23" s="90"/>
      <c r="DB23" s="91"/>
      <c r="DC23" s="108"/>
      <c r="DD23" s="90"/>
      <c r="DE23" s="91"/>
      <c r="DF23" s="89"/>
      <c r="DG23" s="92"/>
      <c r="DH23" s="88"/>
      <c r="DI23" s="89"/>
      <c r="DJ23" s="90"/>
      <c r="DK23" s="91"/>
      <c r="DL23" s="89"/>
      <c r="DM23" s="90"/>
      <c r="DN23" s="91"/>
      <c r="DO23" s="89"/>
      <c r="DP23" s="90"/>
      <c r="DQ23" s="91"/>
      <c r="DR23" s="89"/>
      <c r="DS23" s="90"/>
      <c r="DT23" s="91"/>
      <c r="DU23" s="89"/>
      <c r="DV23" s="90"/>
      <c r="DW23" s="91"/>
      <c r="DX23" s="89"/>
      <c r="DY23" s="92"/>
      <c r="DZ23" s="88"/>
      <c r="EA23" s="89"/>
      <c r="EB23" s="90"/>
      <c r="EC23" s="91"/>
      <c r="ED23" s="108"/>
      <c r="EE23" s="90"/>
      <c r="EF23" s="91"/>
      <c r="EG23" s="89"/>
      <c r="EH23" s="90"/>
      <c r="EI23" s="91"/>
      <c r="EJ23" s="89"/>
      <c r="EK23" s="90"/>
      <c r="EL23" s="91"/>
      <c r="EM23" s="89"/>
      <c r="EN23" s="90"/>
      <c r="EO23" s="91"/>
      <c r="EP23" s="89"/>
      <c r="EQ23" s="92"/>
      <c r="ER23" s="88"/>
      <c r="ES23" s="89"/>
      <c r="ET23" s="90"/>
      <c r="EU23" s="91"/>
      <c r="EV23" s="108"/>
      <c r="EW23" s="90"/>
      <c r="EX23" s="91"/>
      <c r="EY23" s="89"/>
      <c r="EZ23" s="90"/>
      <c r="FA23" s="91"/>
      <c r="FB23" s="89"/>
      <c r="FC23" s="90"/>
      <c r="FD23" s="91"/>
      <c r="FE23" s="89"/>
      <c r="FF23" s="90"/>
      <c r="FG23" s="91"/>
      <c r="FH23" s="89"/>
      <c r="FI23" s="92"/>
      <c r="FJ23" s="88"/>
      <c r="FK23" s="89"/>
      <c r="FL23" s="90"/>
      <c r="FM23" s="91"/>
      <c r="FN23" s="89"/>
      <c r="FO23" s="109"/>
      <c r="FP23" s="91"/>
      <c r="FQ23" s="89"/>
      <c r="FR23" s="90"/>
      <c r="FS23" s="91"/>
      <c r="FT23" s="89"/>
      <c r="FU23" s="90"/>
      <c r="FV23" s="91"/>
      <c r="FW23" s="89"/>
      <c r="FX23" s="90"/>
      <c r="FY23" s="91"/>
      <c r="FZ23" s="89"/>
      <c r="GA23" s="92"/>
      <c r="GB23" s="88"/>
      <c r="GC23" s="89"/>
      <c r="GD23" s="90"/>
      <c r="GE23" s="91"/>
      <c r="GF23" s="89"/>
      <c r="GG23" s="109"/>
      <c r="GH23" s="91"/>
      <c r="GI23" s="89"/>
      <c r="GJ23" s="90"/>
      <c r="GK23" s="91"/>
      <c r="GL23" s="89"/>
      <c r="GM23" s="90"/>
      <c r="GN23" s="91"/>
      <c r="GO23" s="89"/>
      <c r="GP23" s="90"/>
      <c r="GQ23" s="91"/>
      <c r="GR23" s="89"/>
      <c r="GS23" s="92"/>
      <c r="GT23" s="88"/>
      <c r="GU23" s="89"/>
      <c r="GV23" s="90"/>
      <c r="GW23" s="91"/>
      <c r="GX23" s="89"/>
      <c r="GY23" s="109"/>
      <c r="GZ23" s="91"/>
      <c r="HA23" s="89"/>
      <c r="HB23" s="90"/>
      <c r="HC23" s="91"/>
      <c r="HD23" s="89"/>
      <c r="HE23" s="90"/>
      <c r="HF23" s="91"/>
      <c r="HG23" s="89"/>
      <c r="HH23" s="90"/>
      <c r="HI23" s="91"/>
      <c r="HJ23" s="89"/>
      <c r="HK23" s="92"/>
      <c r="HL23" s="88"/>
      <c r="HM23" s="89"/>
      <c r="HN23" s="90"/>
      <c r="HO23" s="91"/>
      <c r="HP23" s="89"/>
      <c r="HQ23" s="90"/>
      <c r="HR23" s="91"/>
      <c r="HS23" s="89"/>
      <c r="HT23" s="90"/>
      <c r="HU23" s="91"/>
      <c r="HV23" s="89"/>
      <c r="HW23" s="90"/>
      <c r="HX23" s="91"/>
      <c r="HY23" s="89"/>
      <c r="HZ23" s="90"/>
      <c r="IA23" s="91"/>
      <c r="IB23" s="89"/>
      <c r="IC23" s="92"/>
      <c r="ID23" s="88"/>
      <c r="IE23" s="89"/>
      <c r="IF23" s="90"/>
      <c r="IG23" s="91"/>
      <c r="IH23" s="89"/>
      <c r="II23" s="109"/>
      <c r="IJ23" s="91"/>
      <c r="IK23" s="89"/>
      <c r="IL23" s="90"/>
      <c r="IM23" s="91"/>
      <c r="IN23" s="89"/>
      <c r="IO23" s="90"/>
      <c r="IP23" s="91"/>
      <c r="IQ23" s="89"/>
      <c r="IR23" s="90"/>
      <c r="IS23" s="91"/>
      <c r="IT23" s="89"/>
      <c r="IU23" s="92"/>
      <c r="IV23" s="107"/>
      <c r="IW23" s="108"/>
      <c r="IX23" s="109"/>
      <c r="IY23" s="110"/>
      <c r="IZ23" s="89"/>
      <c r="JA23" s="90"/>
      <c r="JB23" s="91"/>
      <c r="JC23" s="89"/>
      <c r="JD23" s="90"/>
      <c r="JE23" s="91"/>
      <c r="JF23" s="89"/>
      <c r="JG23" s="90"/>
      <c r="JH23" s="91"/>
      <c r="JI23" s="89"/>
      <c r="JJ23" s="90"/>
      <c r="JK23" s="91"/>
      <c r="JL23" s="89"/>
      <c r="JM23" s="92"/>
    </row>
    <row r="24" spans="2:273" ht="19.5" customHeight="1" thickBot="1" x14ac:dyDescent="0.25">
      <c r="B24" s="125"/>
      <c r="C24" s="99">
        <v>1</v>
      </c>
      <c r="D24" s="93"/>
      <c r="E24" s="94"/>
      <c r="F24" s="95"/>
      <c r="G24" s="96"/>
      <c r="H24" s="94"/>
      <c r="I24" s="95"/>
      <c r="J24" s="96"/>
      <c r="K24" s="94"/>
      <c r="L24" s="95"/>
      <c r="M24" s="96"/>
      <c r="N24" s="94"/>
      <c r="O24" s="95"/>
      <c r="P24" s="96"/>
      <c r="Q24" s="94"/>
      <c r="R24" s="95"/>
      <c r="S24" s="96"/>
      <c r="T24" s="94"/>
      <c r="U24" s="97"/>
      <c r="V24" s="93"/>
      <c r="W24" s="94"/>
      <c r="X24" s="95"/>
      <c r="Y24" s="96"/>
      <c r="Z24" s="94"/>
      <c r="AA24" s="95"/>
      <c r="AB24" s="96"/>
      <c r="AC24" s="94"/>
      <c r="AD24" s="95"/>
      <c r="AE24" s="96"/>
      <c r="AF24" s="94"/>
      <c r="AG24" s="95"/>
      <c r="AH24" s="96"/>
      <c r="AI24" s="94"/>
      <c r="AJ24" s="95"/>
      <c r="AK24" s="96"/>
      <c r="AL24" s="115"/>
      <c r="AM24" s="97"/>
      <c r="AN24" s="93"/>
      <c r="AO24" s="94"/>
      <c r="AP24" s="95"/>
      <c r="AQ24" s="96"/>
      <c r="AR24" s="94"/>
      <c r="AS24" s="95"/>
      <c r="AT24" s="96"/>
      <c r="AU24" s="94"/>
      <c r="AV24" s="95"/>
      <c r="AW24" s="96"/>
      <c r="AX24" s="94"/>
      <c r="AY24" s="95"/>
      <c r="AZ24" s="96"/>
      <c r="BA24" s="94"/>
      <c r="BB24" s="95"/>
      <c r="BC24" s="96"/>
      <c r="BD24" s="94"/>
      <c r="BE24" s="97"/>
      <c r="BF24" s="93"/>
      <c r="BG24" s="94"/>
      <c r="BH24" s="95"/>
      <c r="BI24" s="96"/>
      <c r="BJ24" s="94"/>
      <c r="BK24" s="95"/>
      <c r="BL24" s="96"/>
      <c r="BM24" s="94"/>
      <c r="BN24" s="95"/>
      <c r="BO24" s="96"/>
      <c r="BP24" s="94"/>
      <c r="BQ24" s="95"/>
      <c r="BR24" s="96"/>
      <c r="BS24" s="94"/>
      <c r="BT24" s="95"/>
      <c r="BU24" s="96"/>
      <c r="BV24" s="94"/>
      <c r="BW24" s="97"/>
      <c r="BX24" s="93"/>
      <c r="BY24" s="94"/>
      <c r="BZ24" s="95"/>
      <c r="CA24" s="96"/>
      <c r="CB24" s="94"/>
      <c r="CC24" s="95"/>
      <c r="CD24" s="96"/>
      <c r="CE24" s="94"/>
      <c r="CF24" s="95"/>
      <c r="CG24" s="96"/>
      <c r="CH24" s="94"/>
      <c r="CI24" s="95"/>
      <c r="CJ24" s="96"/>
      <c r="CK24" s="94"/>
      <c r="CL24" s="95"/>
      <c r="CM24" s="96"/>
      <c r="CN24" s="94"/>
      <c r="CO24" s="97"/>
      <c r="CP24" s="93"/>
      <c r="CQ24" s="94"/>
      <c r="CR24" s="95"/>
      <c r="CS24" s="96"/>
      <c r="CT24" s="94"/>
      <c r="CU24" s="95"/>
      <c r="CV24" s="96"/>
      <c r="CW24" s="94"/>
      <c r="CX24" s="95"/>
      <c r="CY24" s="96"/>
      <c r="CZ24" s="94"/>
      <c r="DA24" s="95"/>
      <c r="DB24" s="96"/>
      <c r="DC24" s="94"/>
      <c r="DD24" s="95"/>
      <c r="DE24" s="96"/>
      <c r="DF24" s="94"/>
      <c r="DG24" s="97"/>
      <c r="DH24" s="93"/>
      <c r="DI24" s="94"/>
      <c r="DJ24" s="95"/>
      <c r="DK24" s="96"/>
      <c r="DL24" s="94"/>
      <c r="DM24" s="95"/>
      <c r="DN24" s="96"/>
      <c r="DO24" s="94"/>
      <c r="DP24" s="95"/>
      <c r="DQ24" s="96"/>
      <c r="DR24" s="94"/>
      <c r="DS24" s="95"/>
      <c r="DT24" s="96"/>
      <c r="DU24" s="94"/>
      <c r="DV24" s="95"/>
      <c r="DW24" s="96"/>
      <c r="DX24" s="94"/>
      <c r="DY24" s="97"/>
      <c r="DZ24" s="93"/>
      <c r="EA24" s="94"/>
      <c r="EB24" s="95"/>
      <c r="EC24" s="96"/>
      <c r="ED24" s="94"/>
      <c r="EE24" s="95"/>
      <c r="EF24" s="96"/>
      <c r="EG24" s="94"/>
      <c r="EH24" s="95"/>
      <c r="EI24" s="96"/>
      <c r="EJ24" s="94"/>
      <c r="EK24" s="95"/>
      <c r="EL24" s="96"/>
      <c r="EM24" s="94"/>
      <c r="EN24" s="95"/>
      <c r="EO24" s="96"/>
      <c r="EP24" s="94"/>
      <c r="EQ24" s="97"/>
      <c r="ER24" s="93"/>
      <c r="ES24" s="94"/>
      <c r="ET24" s="95"/>
      <c r="EU24" s="96"/>
      <c r="EV24" s="94"/>
      <c r="EW24" s="95"/>
      <c r="EX24" s="96"/>
      <c r="EY24" s="94"/>
      <c r="EZ24" s="95"/>
      <c r="FA24" s="96"/>
      <c r="FB24" s="94"/>
      <c r="FC24" s="95"/>
      <c r="FD24" s="96"/>
      <c r="FE24" s="94"/>
      <c r="FF24" s="95"/>
      <c r="FG24" s="96"/>
      <c r="FH24" s="94"/>
      <c r="FI24" s="97"/>
      <c r="FJ24" s="93"/>
      <c r="FK24" s="94"/>
      <c r="FL24" s="95"/>
      <c r="FM24" s="96"/>
      <c r="FN24" s="94"/>
      <c r="FO24" s="95"/>
      <c r="FP24" s="96"/>
      <c r="FQ24" s="94"/>
      <c r="FR24" s="95"/>
      <c r="FS24" s="96"/>
      <c r="FT24" s="94"/>
      <c r="FU24" s="95"/>
      <c r="FV24" s="96"/>
      <c r="FW24" s="94"/>
      <c r="FX24" s="95"/>
      <c r="FY24" s="96"/>
      <c r="FZ24" s="94"/>
      <c r="GA24" s="97"/>
      <c r="GB24" s="93"/>
      <c r="GC24" s="94"/>
      <c r="GD24" s="95"/>
      <c r="GE24" s="96"/>
      <c r="GF24" s="94"/>
      <c r="GG24" s="95"/>
      <c r="GH24" s="96"/>
      <c r="GI24" s="94"/>
      <c r="GJ24" s="95"/>
      <c r="GK24" s="96"/>
      <c r="GL24" s="94"/>
      <c r="GM24" s="95"/>
      <c r="GN24" s="96"/>
      <c r="GO24" s="94"/>
      <c r="GP24" s="95"/>
      <c r="GQ24" s="96"/>
      <c r="GR24" s="94"/>
      <c r="GS24" s="97"/>
      <c r="GT24" s="93"/>
      <c r="GU24" s="94"/>
      <c r="GV24" s="95"/>
      <c r="GW24" s="96"/>
      <c r="GX24" s="94"/>
      <c r="GY24" s="95"/>
      <c r="GZ24" s="96"/>
      <c r="HA24" s="94"/>
      <c r="HB24" s="95"/>
      <c r="HC24" s="96"/>
      <c r="HD24" s="94"/>
      <c r="HE24" s="95"/>
      <c r="HF24" s="96"/>
      <c r="HG24" s="94"/>
      <c r="HH24" s="95"/>
      <c r="HI24" s="96"/>
      <c r="HJ24" s="94"/>
      <c r="HK24" s="97"/>
      <c r="HL24" s="93"/>
      <c r="HM24" s="94"/>
      <c r="HN24" s="95"/>
      <c r="HO24" s="96"/>
      <c r="HP24" s="94"/>
      <c r="HQ24" s="95"/>
      <c r="HR24" s="96"/>
      <c r="HS24" s="94"/>
      <c r="HT24" s="95"/>
      <c r="HU24" s="96"/>
      <c r="HV24" s="94"/>
      <c r="HW24" s="95"/>
      <c r="HX24" s="96"/>
      <c r="HY24" s="94"/>
      <c r="HZ24" s="95"/>
      <c r="IA24" s="96"/>
      <c r="IB24" s="94"/>
      <c r="IC24" s="97"/>
      <c r="ID24" s="93"/>
      <c r="IE24" s="94"/>
      <c r="IF24" s="95"/>
      <c r="IG24" s="96"/>
      <c r="IH24" s="94"/>
      <c r="II24" s="95"/>
      <c r="IJ24" s="96"/>
      <c r="IK24" s="94"/>
      <c r="IL24" s="95"/>
      <c r="IM24" s="96"/>
      <c r="IN24" s="94"/>
      <c r="IO24" s="95"/>
      <c r="IP24" s="96"/>
      <c r="IQ24" s="94"/>
      <c r="IR24" s="95"/>
      <c r="IS24" s="96"/>
      <c r="IT24" s="94"/>
      <c r="IU24" s="97"/>
      <c r="IV24" s="93"/>
      <c r="IW24" s="94"/>
      <c r="IX24" s="95"/>
      <c r="IY24" s="96"/>
      <c r="IZ24" s="94"/>
      <c r="JA24" s="95"/>
      <c r="JB24" s="96"/>
      <c r="JC24" s="94"/>
      <c r="JD24" s="95"/>
      <c r="JE24" s="96"/>
      <c r="JF24" s="94"/>
      <c r="JG24" s="95"/>
      <c r="JH24" s="96"/>
      <c r="JI24" s="94"/>
      <c r="JJ24" s="95"/>
      <c r="JK24" s="96"/>
      <c r="JL24" s="94"/>
      <c r="JM24" s="97"/>
    </row>
    <row r="25" spans="2:273" ht="19.5" customHeight="1" x14ac:dyDescent="0.2">
      <c r="B25" s="124" t="str">
        <f>Donnees!$C$31</f>
        <v>Développement de l'application</v>
      </c>
      <c r="C25" s="98">
        <v>21</v>
      </c>
      <c r="D25" s="88"/>
      <c r="E25" s="89"/>
      <c r="F25" s="90"/>
      <c r="G25" s="91"/>
      <c r="H25" s="89"/>
      <c r="I25" s="90"/>
      <c r="J25" s="91"/>
      <c r="K25" s="89"/>
      <c r="L25" s="90"/>
      <c r="M25" s="91"/>
      <c r="N25" s="89"/>
      <c r="O25" s="90"/>
      <c r="P25" s="91"/>
      <c r="Q25" s="89"/>
      <c r="R25" s="90"/>
      <c r="S25" s="91"/>
      <c r="T25" s="89"/>
      <c r="U25" s="92"/>
      <c r="V25" s="88"/>
      <c r="W25" s="89"/>
      <c r="X25" s="90"/>
      <c r="Y25" s="91"/>
      <c r="Z25" s="89"/>
      <c r="AA25" s="90"/>
      <c r="AB25" s="110"/>
      <c r="AC25" s="108"/>
      <c r="AD25" s="109"/>
      <c r="AE25" s="110"/>
      <c r="AF25" s="108"/>
      <c r="AG25" s="109"/>
      <c r="AH25" s="110"/>
      <c r="AI25" s="108"/>
      <c r="AJ25" s="109"/>
      <c r="AK25" s="110"/>
      <c r="AL25" s="89"/>
      <c r="AM25" s="92"/>
      <c r="AN25" s="88"/>
      <c r="AO25" s="89"/>
      <c r="AP25" s="90"/>
      <c r="AQ25" s="91"/>
      <c r="AR25" s="89"/>
      <c r="AS25" s="90"/>
      <c r="AT25" s="91"/>
      <c r="AU25" s="89"/>
      <c r="AV25" s="90"/>
      <c r="AW25" s="91"/>
      <c r="AX25" s="89"/>
      <c r="AY25" s="90"/>
      <c r="AZ25" s="91"/>
      <c r="BA25" s="89"/>
      <c r="BB25" s="90"/>
      <c r="BC25" s="91"/>
      <c r="BD25" s="89"/>
      <c r="BE25" s="92"/>
      <c r="BF25" s="88"/>
      <c r="BG25" s="89"/>
      <c r="BH25" s="90"/>
      <c r="BI25" s="91"/>
      <c r="BJ25" s="89"/>
      <c r="BK25" s="90"/>
      <c r="BL25" s="91"/>
      <c r="BM25" s="89"/>
      <c r="BN25" s="90"/>
      <c r="BO25" s="91"/>
      <c r="BP25" s="89"/>
      <c r="BQ25" s="90"/>
      <c r="BR25" s="91"/>
      <c r="BS25" s="89"/>
      <c r="BT25" s="90"/>
      <c r="BU25" s="91"/>
      <c r="BV25" s="89"/>
      <c r="BW25" s="92"/>
      <c r="BX25" s="88"/>
      <c r="BY25" s="89"/>
      <c r="BZ25" s="90"/>
      <c r="CA25" s="91"/>
      <c r="CB25" s="89"/>
      <c r="CC25" s="90"/>
      <c r="CD25" s="91"/>
      <c r="CE25" s="89"/>
      <c r="CF25" s="90"/>
      <c r="CG25" s="91"/>
      <c r="CH25" s="89"/>
      <c r="CI25" s="90"/>
      <c r="CJ25" s="91"/>
      <c r="CK25" s="89"/>
      <c r="CL25" s="90"/>
      <c r="CM25" s="91"/>
      <c r="CN25" s="89"/>
      <c r="CO25" s="92"/>
      <c r="CP25" s="88"/>
      <c r="CQ25" s="89"/>
      <c r="CR25" s="90"/>
      <c r="CS25" s="91"/>
      <c r="CT25" s="89"/>
      <c r="CU25" s="90"/>
      <c r="CV25" s="91"/>
      <c r="CW25" s="89"/>
      <c r="CX25" s="90"/>
      <c r="CY25" s="91"/>
      <c r="CZ25" s="89"/>
      <c r="DA25" s="90"/>
      <c r="DB25" s="91"/>
      <c r="DC25" s="89"/>
      <c r="DD25" s="90"/>
      <c r="DE25" s="91"/>
      <c r="DF25" s="89"/>
      <c r="DG25" s="92"/>
      <c r="DH25" s="88"/>
      <c r="DI25" s="89"/>
      <c r="DJ25" s="90"/>
      <c r="DK25" s="91"/>
      <c r="DL25" s="89"/>
      <c r="DM25" s="90"/>
      <c r="DN25" s="91"/>
      <c r="DO25" s="89"/>
      <c r="DP25" s="90"/>
      <c r="DQ25" s="91"/>
      <c r="DR25" s="89"/>
      <c r="DS25" s="90"/>
      <c r="DT25" s="91"/>
      <c r="DU25" s="89"/>
      <c r="DV25" s="90"/>
      <c r="DW25" s="91"/>
      <c r="DX25" s="89"/>
      <c r="DY25" s="92"/>
      <c r="DZ25" s="88"/>
      <c r="EA25" s="89"/>
      <c r="EB25" s="90"/>
      <c r="EC25" s="91"/>
      <c r="ED25" s="89"/>
      <c r="EE25" s="90"/>
      <c r="EF25" s="91"/>
      <c r="EG25" s="89"/>
      <c r="EH25" s="90"/>
      <c r="EI25" s="91"/>
      <c r="EJ25" s="89"/>
      <c r="EK25" s="90"/>
      <c r="EL25" s="91"/>
      <c r="EM25" s="89"/>
      <c r="EN25" s="90"/>
      <c r="EO25" s="91"/>
      <c r="EP25" s="89"/>
      <c r="EQ25" s="92"/>
      <c r="ER25" s="88"/>
      <c r="ES25" s="89"/>
      <c r="ET25" s="90"/>
      <c r="EU25" s="91"/>
      <c r="EV25" s="89"/>
      <c r="EW25" s="90"/>
      <c r="EX25" s="91"/>
      <c r="EY25" s="89"/>
      <c r="EZ25" s="90"/>
      <c r="FA25" s="91"/>
      <c r="FB25" s="89"/>
      <c r="FC25" s="90"/>
      <c r="FD25" s="91"/>
      <c r="FE25" s="89"/>
      <c r="FF25" s="90"/>
      <c r="FG25" s="91"/>
      <c r="FH25" s="89"/>
      <c r="FI25" s="92"/>
      <c r="FJ25" s="88"/>
      <c r="FK25" s="89"/>
      <c r="FL25" s="90"/>
      <c r="FM25" s="91"/>
      <c r="FN25" s="89"/>
      <c r="FO25" s="90"/>
      <c r="FP25" s="91"/>
      <c r="FQ25" s="89"/>
      <c r="FR25" s="90"/>
      <c r="FS25" s="91"/>
      <c r="FT25" s="89"/>
      <c r="FU25" s="90"/>
      <c r="FV25" s="91"/>
      <c r="FW25" s="89"/>
      <c r="FX25" s="90"/>
      <c r="FY25" s="91"/>
      <c r="FZ25" s="89"/>
      <c r="GA25" s="92"/>
      <c r="GB25" s="88"/>
      <c r="GC25" s="89"/>
      <c r="GD25" s="90"/>
      <c r="GE25" s="91"/>
      <c r="GF25" s="89"/>
      <c r="GG25" s="90"/>
      <c r="GH25" s="91"/>
      <c r="GI25" s="89"/>
      <c r="GJ25" s="90"/>
      <c r="GK25" s="91"/>
      <c r="GL25" s="89"/>
      <c r="GM25" s="90"/>
      <c r="GN25" s="91"/>
      <c r="GO25" s="89"/>
      <c r="GP25" s="90"/>
      <c r="GQ25" s="91"/>
      <c r="GR25" s="89"/>
      <c r="GS25" s="92"/>
      <c r="GT25" s="88"/>
      <c r="GU25" s="89"/>
      <c r="GV25" s="90"/>
      <c r="GW25" s="91"/>
      <c r="GX25" s="89"/>
      <c r="GY25" s="90"/>
      <c r="GZ25" s="91"/>
      <c r="HA25" s="89"/>
      <c r="HB25" s="90"/>
      <c r="HC25" s="91"/>
      <c r="HD25" s="89"/>
      <c r="HE25" s="90"/>
      <c r="HF25" s="91"/>
      <c r="HG25" s="89"/>
      <c r="HH25" s="90"/>
      <c r="HI25" s="91"/>
      <c r="HJ25" s="108"/>
      <c r="HK25" s="111"/>
      <c r="HL25" s="107"/>
      <c r="HM25" s="108"/>
      <c r="HN25" s="109"/>
      <c r="HO25" s="110"/>
      <c r="HP25" s="108"/>
      <c r="HQ25" s="109"/>
      <c r="HR25" s="91"/>
      <c r="HS25" s="89"/>
      <c r="HT25" s="90"/>
      <c r="HU25" s="91"/>
      <c r="HV25" s="108"/>
      <c r="HW25" s="109"/>
      <c r="HX25" s="110"/>
      <c r="HY25" s="89"/>
      <c r="HZ25" s="90"/>
      <c r="IA25" s="91"/>
      <c r="IB25" s="89"/>
      <c r="IC25" s="92"/>
      <c r="ID25" s="88"/>
      <c r="IE25" s="89"/>
      <c r="IF25" s="90"/>
      <c r="IG25" s="91"/>
      <c r="IH25" s="89"/>
      <c r="II25" s="90"/>
      <c r="IJ25" s="91"/>
      <c r="IK25" s="89"/>
      <c r="IL25" s="90"/>
      <c r="IM25" s="91"/>
      <c r="IN25" s="89"/>
      <c r="IO25" s="90"/>
      <c r="IP25" s="91"/>
      <c r="IQ25" s="89"/>
      <c r="IR25" s="90"/>
      <c r="IS25" s="91"/>
      <c r="IT25" s="89"/>
      <c r="IU25" s="92"/>
      <c r="IV25" s="88"/>
      <c r="IW25" s="89"/>
      <c r="IX25" s="90"/>
      <c r="IY25" s="91"/>
      <c r="IZ25" s="89"/>
      <c r="JA25" s="90"/>
      <c r="JB25" s="91"/>
      <c r="JC25" s="89"/>
      <c r="JD25" s="90"/>
      <c r="JE25" s="91"/>
      <c r="JF25" s="89"/>
      <c r="JG25" s="90"/>
      <c r="JH25" s="91"/>
      <c r="JI25" s="89"/>
      <c r="JJ25" s="90"/>
      <c r="JK25" s="91"/>
      <c r="JL25" s="89"/>
      <c r="JM25" s="92"/>
    </row>
    <row r="26" spans="2:273" ht="19.5" customHeight="1" thickBot="1" x14ac:dyDescent="0.25">
      <c r="B26" s="125"/>
      <c r="C26" s="99">
        <v>10</v>
      </c>
      <c r="D26" s="93"/>
      <c r="E26" s="94"/>
      <c r="F26" s="95"/>
      <c r="G26" s="96"/>
      <c r="H26" s="94"/>
      <c r="I26" s="95"/>
      <c r="J26" s="96"/>
      <c r="K26" s="94"/>
      <c r="L26" s="95"/>
      <c r="M26" s="96"/>
      <c r="N26" s="94"/>
      <c r="O26" s="95"/>
      <c r="P26" s="96"/>
      <c r="Q26" s="94"/>
      <c r="R26" s="95"/>
      <c r="S26" s="96"/>
      <c r="T26" s="94"/>
      <c r="U26" s="97"/>
      <c r="V26" s="93"/>
      <c r="W26" s="94"/>
      <c r="X26" s="95"/>
      <c r="Y26" s="96"/>
      <c r="Z26" s="94"/>
      <c r="AA26" s="95"/>
      <c r="AB26" s="117"/>
      <c r="AC26" s="115"/>
      <c r="AD26" s="116"/>
      <c r="AE26" s="117"/>
      <c r="AF26" s="115"/>
      <c r="AG26" s="116"/>
      <c r="AH26" s="117"/>
      <c r="AI26" s="115"/>
      <c r="AJ26" s="116"/>
      <c r="AK26" s="117"/>
      <c r="AL26" s="94"/>
      <c r="AM26" s="97"/>
      <c r="AN26" s="93"/>
      <c r="AO26" s="94"/>
      <c r="AP26" s="95"/>
      <c r="AQ26" s="96"/>
      <c r="AR26" s="94"/>
      <c r="AS26" s="95"/>
      <c r="AT26" s="96"/>
      <c r="AU26" s="94"/>
      <c r="AV26" s="95"/>
      <c r="AW26" s="96"/>
      <c r="AX26" s="94"/>
      <c r="AY26" s="95"/>
      <c r="AZ26" s="96"/>
      <c r="BA26" s="94"/>
      <c r="BB26" s="95"/>
      <c r="BC26" s="96"/>
      <c r="BD26" s="94"/>
      <c r="BE26" s="97"/>
      <c r="BF26" s="93"/>
      <c r="BG26" s="94"/>
      <c r="BH26" s="95"/>
      <c r="BI26" s="96"/>
      <c r="BJ26" s="94"/>
      <c r="BK26" s="95"/>
      <c r="BL26" s="96"/>
      <c r="BM26" s="94"/>
      <c r="BN26" s="95"/>
      <c r="BO26" s="96"/>
      <c r="BP26" s="94"/>
      <c r="BQ26" s="95"/>
      <c r="BR26" s="96"/>
      <c r="BS26" s="94"/>
      <c r="BT26" s="95"/>
      <c r="BU26" s="96"/>
      <c r="BV26" s="94"/>
      <c r="BW26" s="97"/>
      <c r="BX26" s="93"/>
      <c r="BY26" s="94"/>
      <c r="BZ26" s="95"/>
      <c r="CA26" s="96"/>
      <c r="CB26" s="94"/>
      <c r="CC26" s="95"/>
      <c r="CD26" s="96"/>
      <c r="CE26" s="94"/>
      <c r="CF26" s="95"/>
      <c r="CG26" s="96"/>
      <c r="CH26" s="94"/>
      <c r="CI26" s="95"/>
      <c r="CJ26" s="96"/>
      <c r="CK26" s="94"/>
      <c r="CL26" s="95"/>
      <c r="CM26" s="96"/>
      <c r="CN26" s="94"/>
      <c r="CO26" s="97"/>
      <c r="CP26" s="93"/>
      <c r="CQ26" s="94"/>
      <c r="CR26" s="95"/>
      <c r="CS26" s="96"/>
      <c r="CT26" s="94"/>
      <c r="CU26" s="95"/>
      <c r="CV26" s="96"/>
      <c r="CW26" s="94"/>
      <c r="CX26" s="95"/>
      <c r="CY26" s="96"/>
      <c r="CZ26" s="94"/>
      <c r="DA26" s="95"/>
      <c r="DB26" s="96"/>
      <c r="DC26" s="94"/>
      <c r="DD26" s="95"/>
      <c r="DE26" s="96"/>
      <c r="DF26" s="94"/>
      <c r="DG26" s="97"/>
      <c r="DH26" s="93"/>
      <c r="DI26" s="94"/>
      <c r="DJ26" s="95"/>
      <c r="DK26" s="96"/>
      <c r="DL26" s="94"/>
      <c r="DM26" s="95"/>
      <c r="DN26" s="96"/>
      <c r="DO26" s="94"/>
      <c r="DP26" s="95"/>
      <c r="DQ26" s="96"/>
      <c r="DR26" s="94"/>
      <c r="DS26" s="95"/>
      <c r="DT26" s="96"/>
      <c r="DU26" s="94"/>
      <c r="DV26" s="95"/>
      <c r="DW26" s="96"/>
      <c r="DX26" s="94"/>
      <c r="DY26" s="97"/>
      <c r="DZ26" s="93"/>
      <c r="EA26" s="94"/>
      <c r="EB26" s="95"/>
      <c r="EC26" s="96"/>
      <c r="ED26" s="94"/>
      <c r="EE26" s="95"/>
      <c r="EF26" s="96"/>
      <c r="EG26" s="94"/>
      <c r="EH26" s="95"/>
      <c r="EI26" s="96"/>
      <c r="EJ26" s="94"/>
      <c r="EK26" s="95"/>
      <c r="EL26" s="96"/>
      <c r="EM26" s="94"/>
      <c r="EN26" s="95"/>
      <c r="EO26" s="96"/>
      <c r="EP26" s="94"/>
      <c r="EQ26" s="97"/>
      <c r="ER26" s="93"/>
      <c r="ES26" s="94"/>
      <c r="ET26" s="95"/>
      <c r="EU26" s="96"/>
      <c r="EV26" s="94"/>
      <c r="EW26" s="95"/>
      <c r="EX26" s="96"/>
      <c r="EY26" s="94"/>
      <c r="EZ26" s="95"/>
      <c r="FA26" s="96"/>
      <c r="FB26" s="94"/>
      <c r="FC26" s="95"/>
      <c r="FD26" s="96"/>
      <c r="FE26" s="94"/>
      <c r="FF26" s="95"/>
      <c r="FG26" s="96"/>
      <c r="FH26" s="94"/>
      <c r="FI26" s="97"/>
      <c r="FJ26" s="93"/>
      <c r="FK26" s="94"/>
      <c r="FL26" s="95"/>
      <c r="FM26" s="96"/>
      <c r="FN26" s="94"/>
      <c r="FO26" s="95"/>
      <c r="FP26" s="96"/>
      <c r="FQ26" s="94"/>
      <c r="FR26" s="95"/>
      <c r="FS26" s="96"/>
      <c r="FT26" s="94"/>
      <c r="FU26" s="95"/>
      <c r="FV26" s="96"/>
      <c r="FW26" s="94"/>
      <c r="FX26" s="95"/>
      <c r="FY26" s="96"/>
      <c r="FZ26" s="94"/>
      <c r="GA26" s="97"/>
      <c r="GB26" s="93"/>
      <c r="GC26" s="94"/>
      <c r="GD26" s="95"/>
      <c r="GE26" s="96"/>
      <c r="GF26" s="94"/>
      <c r="GG26" s="95"/>
      <c r="GH26" s="96"/>
      <c r="GI26" s="94"/>
      <c r="GJ26" s="95"/>
      <c r="GK26" s="96"/>
      <c r="GL26" s="94"/>
      <c r="GM26" s="95"/>
      <c r="GN26" s="96"/>
      <c r="GO26" s="94"/>
      <c r="GP26" s="95"/>
      <c r="GQ26" s="96"/>
      <c r="GR26" s="94"/>
      <c r="GS26" s="97"/>
      <c r="GT26" s="93"/>
      <c r="GU26" s="94"/>
      <c r="GV26" s="95"/>
      <c r="GW26" s="96"/>
      <c r="GX26" s="94"/>
      <c r="GY26" s="95"/>
      <c r="GZ26" s="96"/>
      <c r="HA26" s="94"/>
      <c r="HB26" s="95"/>
      <c r="HC26" s="96"/>
      <c r="HD26" s="94"/>
      <c r="HE26" s="95"/>
      <c r="HF26" s="96"/>
      <c r="HG26" s="94"/>
      <c r="HH26" s="95"/>
      <c r="HI26" s="96"/>
      <c r="HJ26" s="94"/>
      <c r="HK26" s="97"/>
      <c r="HL26" s="93"/>
      <c r="HM26" s="94"/>
      <c r="HN26" s="95"/>
      <c r="HO26" s="96"/>
      <c r="HP26" s="94"/>
      <c r="HQ26" s="95"/>
      <c r="HR26" s="96"/>
      <c r="HS26" s="94"/>
      <c r="HT26" s="95"/>
      <c r="HU26" s="96"/>
      <c r="HV26" s="94"/>
      <c r="HW26" s="95"/>
      <c r="HX26" s="96"/>
      <c r="HY26" s="94"/>
      <c r="HZ26" s="95"/>
      <c r="IA26" s="96"/>
      <c r="IB26" s="94"/>
      <c r="IC26" s="97"/>
      <c r="ID26" s="93"/>
      <c r="IE26" s="94"/>
      <c r="IF26" s="95"/>
      <c r="IG26" s="96"/>
      <c r="IH26" s="94"/>
      <c r="II26" s="95"/>
      <c r="IJ26" s="96"/>
      <c r="IK26" s="94"/>
      <c r="IL26" s="95"/>
      <c r="IM26" s="96"/>
      <c r="IN26" s="94"/>
      <c r="IO26" s="95"/>
      <c r="IP26" s="96"/>
      <c r="IQ26" s="94"/>
      <c r="IR26" s="95"/>
      <c r="IS26" s="96"/>
      <c r="IT26" s="94"/>
      <c r="IU26" s="97"/>
      <c r="IV26" s="93"/>
      <c r="IW26" s="94"/>
      <c r="IX26" s="95"/>
      <c r="IY26" s="96"/>
      <c r="IZ26" s="94"/>
      <c r="JA26" s="95"/>
      <c r="JB26" s="96"/>
      <c r="JC26" s="94"/>
      <c r="JD26" s="95"/>
      <c r="JE26" s="96"/>
      <c r="JF26" s="94"/>
      <c r="JG26" s="95"/>
      <c r="JH26" s="96"/>
      <c r="JI26" s="94"/>
      <c r="JJ26" s="95"/>
      <c r="JK26" s="96"/>
      <c r="JL26" s="94"/>
      <c r="JM26" s="97"/>
    </row>
    <row r="27" spans="2:273" ht="19.5" customHeight="1" x14ac:dyDescent="0.2">
      <c r="B27" s="124" t="str">
        <f>Donnees!$C$32</f>
        <v>Développement de la fonction de recherche</v>
      </c>
      <c r="C27" s="98">
        <v>41</v>
      </c>
      <c r="D27" s="88"/>
      <c r="E27" s="89"/>
      <c r="F27" s="90"/>
      <c r="G27" s="91"/>
      <c r="H27" s="89"/>
      <c r="I27" s="90"/>
      <c r="J27" s="91"/>
      <c r="K27" s="89"/>
      <c r="L27" s="90"/>
      <c r="M27" s="91"/>
      <c r="N27" s="89"/>
      <c r="O27" s="90"/>
      <c r="P27" s="91"/>
      <c r="Q27" s="89"/>
      <c r="R27" s="90"/>
      <c r="S27" s="91"/>
      <c r="T27" s="89"/>
      <c r="U27" s="92"/>
      <c r="V27" s="88"/>
      <c r="W27" s="89"/>
      <c r="X27" s="90"/>
      <c r="Y27" s="91"/>
      <c r="Z27" s="89"/>
      <c r="AA27" s="90"/>
      <c r="AB27" s="91"/>
      <c r="AC27" s="89"/>
      <c r="AD27" s="90"/>
      <c r="AE27" s="91"/>
      <c r="AF27" s="89"/>
      <c r="AG27" s="90"/>
      <c r="AH27" s="91"/>
      <c r="AI27" s="89"/>
      <c r="AJ27" s="90"/>
      <c r="AK27" s="91"/>
      <c r="AL27" s="89"/>
      <c r="AM27" s="111"/>
      <c r="AN27" s="107"/>
      <c r="AO27" s="108"/>
      <c r="AP27" s="90"/>
      <c r="AQ27" s="91"/>
      <c r="AR27" s="89"/>
      <c r="AS27" s="90"/>
      <c r="AT27" s="91"/>
      <c r="AU27" s="89"/>
      <c r="AV27" s="90"/>
      <c r="AW27" s="91"/>
      <c r="AX27" s="89"/>
      <c r="AY27" s="90"/>
      <c r="AZ27" s="91"/>
      <c r="BA27" s="89"/>
      <c r="BB27" s="90"/>
      <c r="BC27" s="91"/>
      <c r="BD27" s="89"/>
      <c r="BE27" s="92"/>
      <c r="BF27" s="88"/>
      <c r="BG27" s="89"/>
      <c r="BH27" s="90"/>
      <c r="BI27" s="91"/>
      <c r="BJ27" s="89"/>
      <c r="BK27" s="90"/>
      <c r="BL27" s="110"/>
      <c r="BM27" s="108"/>
      <c r="BN27" s="109"/>
      <c r="BO27" s="110"/>
      <c r="BP27" s="108"/>
      <c r="BQ27" s="109"/>
      <c r="BR27" s="110"/>
      <c r="BS27" s="108"/>
      <c r="BT27" s="109"/>
      <c r="BU27" s="110"/>
      <c r="BV27" s="108"/>
      <c r="BW27" s="111"/>
      <c r="BX27" s="107"/>
      <c r="BY27" s="108"/>
      <c r="BZ27" s="90"/>
      <c r="CA27" s="91"/>
      <c r="CB27" s="89"/>
      <c r="CC27" s="90"/>
      <c r="CD27" s="110"/>
      <c r="CE27" s="108"/>
      <c r="CF27" s="109"/>
      <c r="CG27" s="110"/>
      <c r="CH27" s="108"/>
      <c r="CI27" s="109"/>
      <c r="CJ27" s="110"/>
      <c r="CK27" s="108"/>
      <c r="CL27" s="109"/>
      <c r="CM27" s="110"/>
      <c r="CN27" s="108"/>
      <c r="CO27" s="111"/>
      <c r="CP27" s="107"/>
      <c r="CQ27" s="108"/>
      <c r="CR27" s="90"/>
      <c r="CS27" s="91"/>
      <c r="CT27" s="89"/>
      <c r="CU27" s="90"/>
      <c r="CV27" s="110"/>
      <c r="CW27" s="108"/>
      <c r="CX27" s="109"/>
      <c r="CY27" s="110"/>
      <c r="CZ27" s="108"/>
      <c r="DA27" s="109"/>
      <c r="DB27" s="110"/>
      <c r="DC27" s="89"/>
      <c r="DD27" s="90"/>
      <c r="DE27" s="91"/>
      <c r="DF27" s="89"/>
      <c r="DG27" s="92"/>
      <c r="DH27" s="88"/>
      <c r="DI27" s="89"/>
      <c r="DJ27" s="90"/>
      <c r="DK27" s="110"/>
      <c r="DL27" s="108"/>
      <c r="DM27" s="109"/>
      <c r="DN27" s="91"/>
      <c r="DO27" s="89"/>
      <c r="DP27" s="90"/>
      <c r="DQ27" s="91"/>
      <c r="DR27" s="89"/>
      <c r="DS27" s="90"/>
      <c r="DT27" s="91"/>
      <c r="DU27" s="89"/>
      <c r="DV27" s="90"/>
      <c r="DW27" s="91"/>
      <c r="DX27" s="89"/>
      <c r="DY27" s="92"/>
      <c r="DZ27" s="88"/>
      <c r="EA27" s="89"/>
      <c r="EB27" s="90"/>
      <c r="EC27" s="91"/>
      <c r="ED27" s="89"/>
      <c r="EE27" s="90"/>
      <c r="EF27" s="91"/>
      <c r="EG27" s="89"/>
      <c r="EH27" s="90"/>
      <c r="EI27" s="91"/>
      <c r="EJ27" s="89"/>
      <c r="EK27" s="90"/>
      <c r="EL27" s="91"/>
      <c r="EM27" s="89"/>
      <c r="EN27" s="90"/>
      <c r="EO27" s="91"/>
      <c r="EP27" s="89"/>
      <c r="EQ27" s="92"/>
      <c r="ER27" s="88"/>
      <c r="ES27" s="89"/>
      <c r="ET27" s="90"/>
      <c r="EU27" s="91"/>
      <c r="EV27" s="89"/>
      <c r="EW27" s="90"/>
      <c r="EX27" s="91"/>
      <c r="EY27" s="89"/>
      <c r="EZ27" s="90"/>
      <c r="FA27" s="91"/>
      <c r="FB27" s="89"/>
      <c r="FC27" s="90"/>
      <c r="FD27" s="91"/>
      <c r="FE27" s="89"/>
      <c r="FF27" s="90"/>
      <c r="FG27" s="91"/>
      <c r="FH27" s="89"/>
      <c r="FI27" s="92"/>
      <c r="FJ27" s="88"/>
      <c r="FK27" s="89"/>
      <c r="FL27" s="90"/>
      <c r="FM27" s="91"/>
      <c r="FN27" s="89"/>
      <c r="FO27" s="90"/>
      <c r="FP27" s="91"/>
      <c r="FQ27" s="89"/>
      <c r="FR27" s="90"/>
      <c r="FS27" s="91"/>
      <c r="FT27" s="89"/>
      <c r="FU27" s="90"/>
      <c r="FV27" s="91"/>
      <c r="FW27" s="89"/>
      <c r="FX27" s="90"/>
      <c r="FY27" s="91"/>
      <c r="FZ27" s="89"/>
      <c r="GA27" s="92"/>
      <c r="GB27" s="88"/>
      <c r="GC27" s="89"/>
      <c r="GD27" s="90"/>
      <c r="GE27" s="91"/>
      <c r="GF27" s="89"/>
      <c r="GG27" s="90"/>
      <c r="GH27" s="91"/>
      <c r="GI27" s="89"/>
      <c r="GJ27" s="90"/>
      <c r="GK27" s="91"/>
      <c r="GL27" s="89"/>
      <c r="GM27" s="90"/>
      <c r="GN27" s="91"/>
      <c r="GO27" s="89"/>
      <c r="GP27" s="90"/>
      <c r="GQ27" s="91"/>
      <c r="GR27" s="89"/>
      <c r="GS27" s="92"/>
      <c r="GT27" s="88"/>
      <c r="GU27" s="89"/>
      <c r="GV27" s="90"/>
      <c r="GW27" s="91"/>
      <c r="GX27" s="89"/>
      <c r="GY27" s="90"/>
      <c r="GZ27" s="91"/>
      <c r="HA27" s="89"/>
      <c r="HB27" s="90"/>
      <c r="HC27" s="91"/>
      <c r="HD27" s="89"/>
      <c r="HE27" s="90"/>
      <c r="HF27" s="91"/>
      <c r="HG27" s="89"/>
      <c r="HH27" s="90"/>
      <c r="HI27" s="91"/>
      <c r="HJ27" s="89"/>
      <c r="HK27" s="92"/>
      <c r="HL27" s="88"/>
      <c r="HM27" s="89"/>
      <c r="HN27" s="90"/>
      <c r="HO27" s="91"/>
      <c r="HP27" s="89"/>
      <c r="HQ27" s="90"/>
      <c r="HR27" s="91"/>
      <c r="HS27" s="89"/>
      <c r="HT27" s="90"/>
      <c r="HU27" s="91"/>
      <c r="HV27" s="89"/>
      <c r="HW27" s="90"/>
      <c r="HX27" s="91"/>
      <c r="HY27" s="89"/>
      <c r="HZ27" s="90"/>
      <c r="IA27" s="91"/>
      <c r="IB27" s="89"/>
      <c r="IC27" s="92"/>
      <c r="ID27" s="88"/>
      <c r="IE27" s="89"/>
      <c r="IF27" s="90"/>
      <c r="IG27" s="91"/>
      <c r="IH27" s="89"/>
      <c r="II27" s="90"/>
      <c r="IJ27" s="91"/>
      <c r="IK27" s="89"/>
      <c r="IL27" s="90"/>
      <c r="IM27" s="91"/>
      <c r="IN27" s="89"/>
      <c r="IO27" s="90"/>
      <c r="IP27" s="91"/>
      <c r="IQ27" s="89"/>
      <c r="IR27" s="90"/>
      <c r="IS27" s="91"/>
      <c r="IT27" s="89"/>
      <c r="IU27" s="92"/>
      <c r="IV27" s="88"/>
      <c r="IW27" s="89"/>
      <c r="IX27" s="90"/>
      <c r="IY27" s="91"/>
      <c r="IZ27" s="89"/>
      <c r="JA27" s="90"/>
      <c r="JB27" s="91"/>
      <c r="JC27" s="89"/>
      <c r="JD27" s="90"/>
      <c r="JE27" s="91"/>
      <c r="JF27" s="89"/>
      <c r="JG27" s="90"/>
      <c r="JH27" s="91"/>
      <c r="JI27" s="89"/>
      <c r="JJ27" s="90"/>
      <c r="JK27" s="91"/>
      <c r="JL27" s="89"/>
      <c r="JM27" s="92"/>
    </row>
    <row r="28" spans="2:273" ht="19.5" customHeight="1" thickBot="1" x14ac:dyDescent="0.25">
      <c r="B28" s="125"/>
      <c r="C28" s="99">
        <v>1</v>
      </c>
      <c r="D28" s="93"/>
      <c r="E28" s="94"/>
      <c r="F28" s="95"/>
      <c r="G28" s="96"/>
      <c r="H28" s="94"/>
      <c r="I28" s="95"/>
      <c r="J28" s="96"/>
      <c r="K28" s="94"/>
      <c r="L28" s="95"/>
      <c r="M28" s="96"/>
      <c r="N28" s="94"/>
      <c r="O28" s="95"/>
      <c r="P28" s="96"/>
      <c r="Q28" s="94"/>
      <c r="R28" s="95"/>
      <c r="S28" s="96"/>
      <c r="T28" s="94"/>
      <c r="U28" s="97"/>
      <c r="V28" s="93"/>
      <c r="W28" s="94"/>
      <c r="X28" s="95"/>
      <c r="Y28" s="96"/>
      <c r="Z28" s="94"/>
      <c r="AA28" s="95"/>
      <c r="AB28" s="96"/>
      <c r="AC28" s="94"/>
      <c r="AD28" s="95"/>
      <c r="AE28" s="96"/>
      <c r="AF28" s="94"/>
      <c r="AG28" s="95"/>
      <c r="AH28" s="96"/>
      <c r="AI28" s="94"/>
      <c r="AJ28" s="95"/>
      <c r="AK28" s="96"/>
      <c r="AL28" s="94"/>
      <c r="AM28" s="118"/>
      <c r="AN28" s="93"/>
      <c r="AO28" s="94"/>
      <c r="AP28" s="95"/>
      <c r="AQ28" s="96"/>
      <c r="AR28" s="94"/>
      <c r="AS28" s="95"/>
      <c r="AT28" s="96"/>
      <c r="AU28" s="94"/>
      <c r="AV28" s="95"/>
      <c r="AW28" s="96"/>
      <c r="AX28" s="94"/>
      <c r="AY28" s="95"/>
      <c r="AZ28" s="96"/>
      <c r="BA28" s="94"/>
      <c r="BB28" s="95"/>
      <c r="BC28" s="96"/>
      <c r="BD28" s="94"/>
      <c r="BE28" s="97"/>
      <c r="BF28" s="93"/>
      <c r="BG28" s="94"/>
      <c r="BH28" s="95"/>
      <c r="BI28" s="96"/>
      <c r="BJ28" s="94"/>
      <c r="BK28" s="95"/>
      <c r="BL28" s="96"/>
      <c r="BM28" s="94"/>
      <c r="BN28" s="95"/>
      <c r="BO28" s="96"/>
      <c r="BP28" s="94"/>
      <c r="BQ28" s="95"/>
      <c r="BR28" s="96"/>
      <c r="BS28" s="94"/>
      <c r="BT28" s="95"/>
      <c r="BU28" s="96"/>
      <c r="BV28" s="94"/>
      <c r="BW28" s="97"/>
      <c r="BX28" s="93"/>
      <c r="BY28" s="94"/>
      <c r="BZ28" s="95"/>
      <c r="CA28" s="96"/>
      <c r="CB28" s="94"/>
      <c r="CC28" s="95"/>
      <c r="CD28" s="96"/>
      <c r="CE28" s="94"/>
      <c r="CF28" s="95"/>
      <c r="CG28" s="96"/>
      <c r="CH28" s="94"/>
      <c r="CI28" s="95"/>
      <c r="CJ28" s="96"/>
      <c r="CK28" s="94"/>
      <c r="CL28" s="95"/>
      <c r="CM28" s="96"/>
      <c r="CN28" s="94"/>
      <c r="CO28" s="97"/>
      <c r="CP28" s="93"/>
      <c r="CQ28" s="94"/>
      <c r="CR28" s="95"/>
      <c r="CS28" s="96"/>
      <c r="CT28" s="94"/>
      <c r="CU28" s="95"/>
      <c r="CV28" s="96"/>
      <c r="CW28" s="94"/>
      <c r="CX28" s="95"/>
      <c r="CY28" s="96"/>
      <c r="CZ28" s="94"/>
      <c r="DA28" s="95"/>
      <c r="DB28" s="96"/>
      <c r="DC28" s="94"/>
      <c r="DD28" s="95"/>
      <c r="DE28" s="96"/>
      <c r="DF28" s="94"/>
      <c r="DG28" s="97"/>
      <c r="DH28" s="93"/>
      <c r="DI28" s="94"/>
      <c r="DJ28" s="95"/>
      <c r="DK28" s="96"/>
      <c r="DL28" s="94"/>
      <c r="DM28" s="95"/>
      <c r="DN28" s="96"/>
      <c r="DO28" s="94"/>
      <c r="DP28" s="95"/>
      <c r="DQ28" s="96"/>
      <c r="DR28" s="94"/>
      <c r="DS28" s="95"/>
      <c r="DT28" s="96"/>
      <c r="DU28" s="94"/>
      <c r="DV28" s="95"/>
      <c r="DW28" s="96"/>
      <c r="DX28" s="94"/>
      <c r="DY28" s="97"/>
      <c r="DZ28" s="93"/>
      <c r="EA28" s="94"/>
      <c r="EB28" s="95"/>
      <c r="EC28" s="96"/>
      <c r="ED28" s="94"/>
      <c r="EE28" s="95"/>
      <c r="EF28" s="96"/>
      <c r="EG28" s="94"/>
      <c r="EH28" s="95"/>
      <c r="EI28" s="96"/>
      <c r="EJ28" s="94"/>
      <c r="EK28" s="95"/>
      <c r="EL28" s="96"/>
      <c r="EM28" s="94"/>
      <c r="EN28" s="95"/>
      <c r="EO28" s="96"/>
      <c r="EP28" s="94"/>
      <c r="EQ28" s="97"/>
      <c r="ER28" s="93"/>
      <c r="ES28" s="94"/>
      <c r="ET28" s="95"/>
      <c r="EU28" s="96"/>
      <c r="EV28" s="94"/>
      <c r="EW28" s="95"/>
      <c r="EX28" s="96"/>
      <c r="EY28" s="94"/>
      <c r="EZ28" s="95"/>
      <c r="FA28" s="96"/>
      <c r="FB28" s="94"/>
      <c r="FC28" s="95"/>
      <c r="FD28" s="96"/>
      <c r="FE28" s="94"/>
      <c r="FF28" s="95"/>
      <c r="FG28" s="96"/>
      <c r="FH28" s="94"/>
      <c r="FI28" s="97"/>
      <c r="FJ28" s="93"/>
      <c r="FK28" s="94"/>
      <c r="FL28" s="95"/>
      <c r="FM28" s="96"/>
      <c r="FN28" s="94"/>
      <c r="FO28" s="95"/>
      <c r="FP28" s="96"/>
      <c r="FQ28" s="94"/>
      <c r="FR28" s="95"/>
      <c r="FS28" s="96"/>
      <c r="FT28" s="94"/>
      <c r="FU28" s="95"/>
      <c r="FV28" s="96"/>
      <c r="FW28" s="94"/>
      <c r="FX28" s="95"/>
      <c r="FY28" s="96"/>
      <c r="FZ28" s="94"/>
      <c r="GA28" s="97"/>
      <c r="GB28" s="93"/>
      <c r="GC28" s="94"/>
      <c r="GD28" s="95"/>
      <c r="GE28" s="96"/>
      <c r="GF28" s="94"/>
      <c r="GG28" s="95"/>
      <c r="GH28" s="96"/>
      <c r="GI28" s="94"/>
      <c r="GJ28" s="95"/>
      <c r="GK28" s="96"/>
      <c r="GL28" s="94"/>
      <c r="GM28" s="95"/>
      <c r="GN28" s="96"/>
      <c r="GO28" s="94"/>
      <c r="GP28" s="95"/>
      <c r="GQ28" s="96"/>
      <c r="GR28" s="94"/>
      <c r="GS28" s="97"/>
      <c r="GT28" s="93"/>
      <c r="GU28" s="94"/>
      <c r="GV28" s="95"/>
      <c r="GW28" s="96"/>
      <c r="GX28" s="94"/>
      <c r="GY28" s="95"/>
      <c r="GZ28" s="96"/>
      <c r="HA28" s="94"/>
      <c r="HB28" s="95"/>
      <c r="HC28" s="96"/>
      <c r="HD28" s="94"/>
      <c r="HE28" s="95"/>
      <c r="HF28" s="96"/>
      <c r="HG28" s="94"/>
      <c r="HH28" s="95"/>
      <c r="HI28" s="96"/>
      <c r="HJ28" s="94"/>
      <c r="HK28" s="97"/>
      <c r="HL28" s="93"/>
      <c r="HM28" s="94"/>
      <c r="HN28" s="95"/>
      <c r="HO28" s="96"/>
      <c r="HP28" s="94"/>
      <c r="HQ28" s="95"/>
      <c r="HR28" s="96"/>
      <c r="HS28" s="94"/>
      <c r="HT28" s="95"/>
      <c r="HU28" s="96"/>
      <c r="HV28" s="94"/>
      <c r="HW28" s="95"/>
      <c r="HX28" s="96"/>
      <c r="HY28" s="94"/>
      <c r="HZ28" s="95"/>
      <c r="IA28" s="96"/>
      <c r="IB28" s="94"/>
      <c r="IC28" s="97"/>
      <c r="ID28" s="93"/>
      <c r="IE28" s="94"/>
      <c r="IF28" s="95"/>
      <c r="IG28" s="96"/>
      <c r="IH28" s="94"/>
      <c r="II28" s="95"/>
      <c r="IJ28" s="96"/>
      <c r="IK28" s="94"/>
      <c r="IL28" s="95"/>
      <c r="IM28" s="96"/>
      <c r="IN28" s="94"/>
      <c r="IO28" s="95"/>
      <c r="IP28" s="96"/>
      <c r="IQ28" s="94"/>
      <c r="IR28" s="95"/>
      <c r="IS28" s="96"/>
      <c r="IT28" s="94"/>
      <c r="IU28" s="97"/>
      <c r="IV28" s="93"/>
      <c r="IW28" s="94"/>
      <c r="IX28" s="95"/>
      <c r="IY28" s="96"/>
      <c r="IZ28" s="94"/>
      <c r="JA28" s="95"/>
      <c r="JB28" s="96"/>
      <c r="JC28" s="94"/>
      <c r="JD28" s="95"/>
      <c r="JE28" s="96"/>
      <c r="JF28" s="94"/>
      <c r="JG28" s="95"/>
      <c r="JH28" s="96"/>
      <c r="JI28" s="94"/>
      <c r="JJ28" s="95"/>
      <c r="JK28" s="96"/>
      <c r="JL28" s="94"/>
      <c r="JM28" s="97"/>
    </row>
    <row r="29" spans="2:273" ht="19.5" customHeight="1" x14ac:dyDescent="0.2">
      <c r="B29" s="124" t="str">
        <f>Donnees!$C$33</f>
        <v>Développement de la prévisualisation</v>
      </c>
      <c r="C29" s="98">
        <v>32</v>
      </c>
      <c r="D29" s="88"/>
      <c r="E29" s="89"/>
      <c r="F29" s="90"/>
      <c r="G29" s="91"/>
      <c r="H29" s="89"/>
      <c r="I29" s="90"/>
      <c r="J29" s="91"/>
      <c r="K29" s="89"/>
      <c r="L29" s="90"/>
      <c r="M29" s="91"/>
      <c r="N29" s="89"/>
      <c r="O29" s="90"/>
      <c r="P29" s="91"/>
      <c r="Q29" s="89"/>
      <c r="R29" s="90"/>
      <c r="S29" s="91"/>
      <c r="T29" s="89"/>
      <c r="U29" s="92"/>
      <c r="V29" s="88"/>
      <c r="W29" s="89"/>
      <c r="X29" s="90"/>
      <c r="Y29" s="91"/>
      <c r="Z29" s="89"/>
      <c r="AA29" s="90"/>
      <c r="AB29" s="91"/>
      <c r="AC29" s="89"/>
      <c r="AD29" s="90"/>
      <c r="AE29" s="91"/>
      <c r="AF29" s="89"/>
      <c r="AG29" s="90"/>
      <c r="AH29" s="91"/>
      <c r="AI29" s="89"/>
      <c r="AJ29" s="90"/>
      <c r="AK29" s="91"/>
      <c r="AL29" s="89"/>
      <c r="AM29" s="92"/>
      <c r="AN29" s="88"/>
      <c r="AO29" s="89"/>
      <c r="AP29" s="90"/>
      <c r="AQ29" s="91"/>
      <c r="AR29" s="89"/>
      <c r="AS29" s="90"/>
      <c r="AT29" s="91"/>
      <c r="AU29" s="89"/>
      <c r="AV29" s="90"/>
      <c r="AW29" s="91"/>
      <c r="AX29" s="89"/>
      <c r="AY29" s="90"/>
      <c r="AZ29" s="91"/>
      <c r="BA29" s="89"/>
      <c r="BB29" s="90"/>
      <c r="BC29" s="91"/>
      <c r="BD29" s="89"/>
      <c r="BE29" s="92"/>
      <c r="BF29" s="88"/>
      <c r="BG29" s="89"/>
      <c r="BH29" s="90"/>
      <c r="BI29" s="91"/>
      <c r="BJ29" s="89"/>
      <c r="BK29" s="90"/>
      <c r="BL29" s="91"/>
      <c r="BM29" s="89"/>
      <c r="BN29" s="90"/>
      <c r="BO29" s="91"/>
      <c r="BP29" s="89"/>
      <c r="BQ29" s="90"/>
      <c r="BR29" s="91"/>
      <c r="BS29" s="89"/>
      <c r="BT29" s="90"/>
      <c r="BU29" s="91"/>
      <c r="BV29" s="89"/>
      <c r="BW29" s="92"/>
      <c r="BX29" s="88"/>
      <c r="BY29" s="89"/>
      <c r="BZ29" s="90"/>
      <c r="CA29" s="91"/>
      <c r="CB29" s="89"/>
      <c r="CC29" s="90"/>
      <c r="CD29" s="91"/>
      <c r="CE29" s="89"/>
      <c r="CF29" s="90"/>
      <c r="CG29" s="91"/>
      <c r="CH29" s="89"/>
      <c r="CI29" s="90"/>
      <c r="CJ29" s="91"/>
      <c r="CK29" s="89"/>
      <c r="CL29" s="90"/>
      <c r="CM29" s="91"/>
      <c r="CN29" s="89"/>
      <c r="CO29" s="92"/>
      <c r="CP29" s="88"/>
      <c r="CQ29" s="89"/>
      <c r="CR29" s="90"/>
      <c r="CS29" s="91"/>
      <c r="CT29" s="89"/>
      <c r="CU29" s="90"/>
      <c r="CV29" s="91"/>
      <c r="CW29" s="89"/>
      <c r="CX29" s="90"/>
      <c r="CY29" s="91"/>
      <c r="CZ29" s="89"/>
      <c r="DA29" s="90"/>
      <c r="DB29" s="91"/>
      <c r="DC29" s="89"/>
      <c r="DD29" s="90"/>
      <c r="DE29" s="91"/>
      <c r="DF29" s="89"/>
      <c r="DG29" s="92"/>
      <c r="DH29" s="88"/>
      <c r="DI29" s="89"/>
      <c r="DJ29" s="90"/>
      <c r="DK29" s="91"/>
      <c r="DL29" s="89"/>
      <c r="DM29" s="90"/>
      <c r="DN29" s="91"/>
      <c r="DO29" s="89"/>
      <c r="DP29" s="90"/>
      <c r="DQ29" s="91"/>
      <c r="DR29" s="89"/>
      <c r="DS29" s="90"/>
      <c r="DT29" s="91"/>
      <c r="DU29" s="89"/>
      <c r="DV29" s="90"/>
      <c r="DW29" s="91"/>
      <c r="DX29" s="89"/>
      <c r="DY29" s="92"/>
      <c r="DZ29" s="88"/>
      <c r="EA29" s="89"/>
      <c r="EB29" s="90"/>
      <c r="EC29" s="91"/>
      <c r="ED29" s="89"/>
      <c r="EE29" s="90"/>
      <c r="EF29" s="91"/>
      <c r="EG29" s="89"/>
      <c r="EH29" s="90"/>
      <c r="EI29" s="91"/>
      <c r="EJ29" s="89"/>
      <c r="EK29" s="90"/>
      <c r="EL29" s="91"/>
      <c r="EM29" s="89"/>
      <c r="EN29" s="90"/>
      <c r="EO29" s="91"/>
      <c r="EP29" s="89"/>
      <c r="EQ29" s="92"/>
      <c r="ER29" s="88"/>
      <c r="ES29" s="89"/>
      <c r="ET29" s="90"/>
      <c r="EU29" s="91"/>
      <c r="EV29" s="89"/>
      <c r="EW29" s="90"/>
      <c r="EX29" s="91"/>
      <c r="EY29" s="89"/>
      <c r="EZ29" s="90"/>
      <c r="FA29" s="91"/>
      <c r="FB29" s="89"/>
      <c r="FC29" s="90"/>
      <c r="FD29" s="91"/>
      <c r="FE29" s="89"/>
      <c r="FF29" s="90"/>
      <c r="FG29" s="91"/>
      <c r="FH29" s="89"/>
      <c r="FI29" s="92"/>
      <c r="FJ29" s="88"/>
      <c r="FK29" s="89"/>
      <c r="FL29" s="90"/>
      <c r="FM29" s="91"/>
      <c r="FN29" s="89"/>
      <c r="FO29" s="90"/>
      <c r="FP29" s="110"/>
      <c r="FQ29" s="108"/>
      <c r="FR29" s="109"/>
      <c r="FS29" s="110"/>
      <c r="FT29" s="108"/>
      <c r="FU29" s="109"/>
      <c r="FV29" s="110"/>
      <c r="FW29" s="108"/>
      <c r="FX29" s="109"/>
      <c r="FY29" s="110"/>
      <c r="FZ29" s="108"/>
      <c r="GA29" s="111"/>
      <c r="GB29" s="107"/>
      <c r="GC29" s="108"/>
      <c r="GD29" s="109"/>
      <c r="GE29" s="110"/>
      <c r="GF29" s="89"/>
      <c r="GG29" s="90"/>
      <c r="GH29" s="110"/>
      <c r="GI29" s="108"/>
      <c r="GJ29" s="109"/>
      <c r="GK29" s="110"/>
      <c r="GL29" s="108"/>
      <c r="GM29" s="109"/>
      <c r="GN29" s="110"/>
      <c r="GO29" s="108"/>
      <c r="GP29" s="109"/>
      <c r="GQ29" s="110"/>
      <c r="GR29" s="108"/>
      <c r="GS29" s="111"/>
      <c r="GT29" s="107"/>
      <c r="GU29" s="108"/>
      <c r="GV29" s="109"/>
      <c r="GW29" s="110"/>
      <c r="GX29" s="89"/>
      <c r="GY29" s="90"/>
      <c r="GZ29" s="91"/>
      <c r="HA29" s="89"/>
      <c r="HB29" s="90"/>
      <c r="HC29" s="91"/>
      <c r="HD29" s="89"/>
      <c r="HE29" s="90"/>
      <c r="HF29" s="91"/>
      <c r="HG29" s="89"/>
      <c r="HH29" s="90"/>
      <c r="HI29" s="91"/>
      <c r="HJ29" s="89"/>
      <c r="HK29" s="92"/>
      <c r="HL29" s="88"/>
      <c r="HM29" s="89"/>
      <c r="HN29" s="90"/>
      <c r="HO29" s="91"/>
      <c r="HP29" s="89"/>
      <c r="HQ29" s="90"/>
      <c r="HR29" s="91"/>
      <c r="HS29" s="89"/>
      <c r="HT29" s="90"/>
      <c r="HU29" s="91"/>
      <c r="HV29" s="89"/>
      <c r="HW29" s="90"/>
      <c r="HX29" s="91"/>
      <c r="HY29" s="89"/>
      <c r="HZ29" s="90"/>
      <c r="IA29" s="91"/>
      <c r="IB29" s="89"/>
      <c r="IC29" s="92"/>
      <c r="ID29" s="88"/>
      <c r="IE29" s="89"/>
      <c r="IF29" s="90"/>
      <c r="IG29" s="91"/>
      <c r="IH29" s="89"/>
      <c r="II29" s="90"/>
      <c r="IJ29" s="91"/>
      <c r="IK29" s="89"/>
      <c r="IL29" s="90"/>
      <c r="IM29" s="91"/>
      <c r="IN29" s="89"/>
      <c r="IO29" s="90"/>
      <c r="IP29" s="91"/>
      <c r="IQ29" s="89"/>
      <c r="IR29" s="90"/>
      <c r="IS29" s="91"/>
      <c r="IT29" s="89"/>
      <c r="IU29" s="92"/>
      <c r="IV29" s="88"/>
      <c r="IW29" s="89"/>
      <c r="IX29" s="90"/>
      <c r="IY29" s="91"/>
      <c r="IZ29" s="89"/>
      <c r="JA29" s="90"/>
      <c r="JB29" s="91"/>
      <c r="JC29" s="89"/>
      <c r="JD29" s="90"/>
      <c r="JE29" s="91"/>
      <c r="JF29" s="89"/>
      <c r="JG29" s="90"/>
      <c r="JH29" s="91"/>
      <c r="JI29" s="89"/>
      <c r="JJ29" s="90"/>
      <c r="JK29" s="91"/>
      <c r="JL29" s="89"/>
      <c r="JM29" s="92"/>
    </row>
    <row r="30" spans="2:273" ht="19.5" customHeight="1" thickBot="1" x14ac:dyDescent="0.25">
      <c r="B30" s="125"/>
      <c r="C30" s="99">
        <v>0</v>
      </c>
      <c r="D30" s="93"/>
      <c r="E30" s="94"/>
      <c r="F30" s="95"/>
      <c r="G30" s="96"/>
      <c r="H30" s="94"/>
      <c r="I30" s="95"/>
      <c r="J30" s="96"/>
      <c r="K30" s="94"/>
      <c r="L30" s="95"/>
      <c r="M30" s="96"/>
      <c r="N30" s="94"/>
      <c r="O30" s="95"/>
      <c r="P30" s="96"/>
      <c r="Q30" s="94"/>
      <c r="R30" s="95"/>
      <c r="S30" s="96"/>
      <c r="T30" s="94"/>
      <c r="U30" s="97"/>
      <c r="V30" s="93"/>
      <c r="W30" s="94"/>
      <c r="X30" s="95"/>
      <c r="Y30" s="96"/>
      <c r="Z30" s="94"/>
      <c r="AA30" s="95"/>
      <c r="AB30" s="96"/>
      <c r="AC30" s="94"/>
      <c r="AD30" s="95"/>
      <c r="AE30" s="96"/>
      <c r="AF30" s="94"/>
      <c r="AG30" s="95"/>
      <c r="AH30" s="96"/>
      <c r="AI30" s="94"/>
      <c r="AJ30" s="95"/>
      <c r="AK30" s="96"/>
      <c r="AL30" s="94"/>
      <c r="AM30" s="97"/>
      <c r="AN30" s="93"/>
      <c r="AO30" s="94"/>
      <c r="AP30" s="95"/>
      <c r="AQ30" s="96"/>
      <c r="AR30" s="94"/>
      <c r="AS30" s="95"/>
      <c r="AT30" s="96"/>
      <c r="AU30" s="94"/>
      <c r="AV30" s="95"/>
      <c r="AW30" s="96"/>
      <c r="AX30" s="94"/>
      <c r="AY30" s="95"/>
      <c r="AZ30" s="96"/>
      <c r="BA30" s="94"/>
      <c r="BB30" s="95"/>
      <c r="BC30" s="96"/>
      <c r="BD30" s="94"/>
      <c r="BE30" s="97"/>
      <c r="BF30" s="93"/>
      <c r="BG30" s="94"/>
      <c r="BH30" s="95"/>
      <c r="BI30" s="96"/>
      <c r="BJ30" s="94"/>
      <c r="BK30" s="95"/>
      <c r="BL30" s="96"/>
      <c r="BM30" s="94"/>
      <c r="BN30" s="95"/>
      <c r="BO30" s="96"/>
      <c r="BP30" s="94"/>
      <c r="BQ30" s="95"/>
      <c r="BR30" s="96"/>
      <c r="BS30" s="94"/>
      <c r="BT30" s="95"/>
      <c r="BU30" s="96"/>
      <c r="BV30" s="94"/>
      <c r="BW30" s="97"/>
      <c r="BX30" s="93"/>
      <c r="BY30" s="94"/>
      <c r="BZ30" s="95"/>
      <c r="CA30" s="96"/>
      <c r="CB30" s="94"/>
      <c r="CC30" s="95"/>
      <c r="CD30" s="96"/>
      <c r="CE30" s="94"/>
      <c r="CF30" s="95"/>
      <c r="CG30" s="96"/>
      <c r="CH30" s="94"/>
      <c r="CI30" s="95"/>
      <c r="CJ30" s="96"/>
      <c r="CK30" s="94"/>
      <c r="CL30" s="95"/>
      <c r="CM30" s="96"/>
      <c r="CN30" s="94"/>
      <c r="CO30" s="97"/>
      <c r="CP30" s="93"/>
      <c r="CQ30" s="94"/>
      <c r="CR30" s="95"/>
      <c r="CS30" s="96"/>
      <c r="CT30" s="94"/>
      <c r="CU30" s="95"/>
      <c r="CV30" s="96"/>
      <c r="CW30" s="94"/>
      <c r="CX30" s="95"/>
      <c r="CY30" s="96"/>
      <c r="CZ30" s="94"/>
      <c r="DA30" s="95"/>
      <c r="DB30" s="96"/>
      <c r="DC30" s="94"/>
      <c r="DD30" s="95"/>
      <c r="DE30" s="96"/>
      <c r="DF30" s="94"/>
      <c r="DG30" s="97"/>
      <c r="DH30" s="93"/>
      <c r="DI30" s="94"/>
      <c r="DJ30" s="95"/>
      <c r="DK30" s="96"/>
      <c r="DL30" s="94"/>
      <c r="DM30" s="95"/>
      <c r="DN30" s="96"/>
      <c r="DO30" s="94"/>
      <c r="DP30" s="95"/>
      <c r="DQ30" s="96"/>
      <c r="DR30" s="94"/>
      <c r="DS30" s="95"/>
      <c r="DT30" s="96"/>
      <c r="DU30" s="94"/>
      <c r="DV30" s="95"/>
      <c r="DW30" s="96"/>
      <c r="DX30" s="94"/>
      <c r="DY30" s="97"/>
      <c r="DZ30" s="93"/>
      <c r="EA30" s="94"/>
      <c r="EB30" s="95"/>
      <c r="EC30" s="96"/>
      <c r="ED30" s="94"/>
      <c r="EE30" s="95"/>
      <c r="EF30" s="96"/>
      <c r="EG30" s="94"/>
      <c r="EH30" s="95"/>
      <c r="EI30" s="96"/>
      <c r="EJ30" s="94"/>
      <c r="EK30" s="95"/>
      <c r="EL30" s="96"/>
      <c r="EM30" s="94"/>
      <c r="EN30" s="95"/>
      <c r="EO30" s="96"/>
      <c r="EP30" s="94"/>
      <c r="EQ30" s="97"/>
      <c r="ER30" s="93"/>
      <c r="ES30" s="94"/>
      <c r="ET30" s="95"/>
      <c r="EU30" s="96"/>
      <c r="EV30" s="94"/>
      <c r="EW30" s="95"/>
      <c r="EX30" s="96"/>
      <c r="EY30" s="94"/>
      <c r="EZ30" s="95"/>
      <c r="FA30" s="96"/>
      <c r="FB30" s="94"/>
      <c r="FC30" s="95"/>
      <c r="FD30" s="96"/>
      <c r="FE30" s="94"/>
      <c r="FF30" s="95"/>
      <c r="FG30" s="96"/>
      <c r="FH30" s="94"/>
      <c r="FI30" s="97"/>
      <c r="FJ30" s="93"/>
      <c r="FK30" s="94"/>
      <c r="FL30" s="95"/>
      <c r="FM30" s="96"/>
      <c r="FN30" s="94"/>
      <c r="FO30" s="95"/>
      <c r="FP30" s="96"/>
      <c r="FQ30" s="94"/>
      <c r="FR30" s="95"/>
      <c r="FS30" s="96"/>
      <c r="FT30" s="94"/>
      <c r="FU30" s="95"/>
      <c r="FV30" s="96"/>
      <c r="FW30" s="94"/>
      <c r="FX30" s="95"/>
      <c r="FY30" s="96"/>
      <c r="FZ30" s="94"/>
      <c r="GA30" s="97"/>
      <c r="GB30" s="93"/>
      <c r="GC30" s="94"/>
      <c r="GD30" s="95"/>
      <c r="GE30" s="96"/>
      <c r="GF30" s="94"/>
      <c r="GG30" s="95"/>
      <c r="GH30" s="96"/>
      <c r="GI30" s="94"/>
      <c r="GJ30" s="95"/>
      <c r="GK30" s="96"/>
      <c r="GL30" s="94"/>
      <c r="GM30" s="95"/>
      <c r="GN30" s="96"/>
      <c r="GO30" s="94"/>
      <c r="GP30" s="95"/>
      <c r="GQ30" s="96"/>
      <c r="GR30" s="94"/>
      <c r="GS30" s="97"/>
      <c r="GT30" s="93"/>
      <c r="GU30" s="94"/>
      <c r="GV30" s="95"/>
      <c r="GW30" s="96"/>
      <c r="GX30" s="94"/>
      <c r="GY30" s="95"/>
      <c r="GZ30" s="96"/>
      <c r="HA30" s="94"/>
      <c r="HB30" s="95"/>
      <c r="HC30" s="96"/>
      <c r="HD30" s="94"/>
      <c r="HE30" s="95"/>
      <c r="HF30" s="96"/>
      <c r="HG30" s="94"/>
      <c r="HH30" s="95"/>
      <c r="HI30" s="96"/>
      <c r="HJ30" s="94"/>
      <c r="HK30" s="97"/>
      <c r="HL30" s="93"/>
      <c r="HM30" s="94"/>
      <c r="HN30" s="95"/>
      <c r="HO30" s="96"/>
      <c r="HP30" s="94"/>
      <c r="HQ30" s="95"/>
      <c r="HR30" s="96"/>
      <c r="HS30" s="94"/>
      <c r="HT30" s="95"/>
      <c r="HU30" s="96"/>
      <c r="HV30" s="94"/>
      <c r="HW30" s="95"/>
      <c r="HX30" s="96"/>
      <c r="HY30" s="94"/>
      <c r="HZ30" s="95"/>
      <c r="IA30" s="96"/>
      <c r="IB30" s="94"/>
      <c r="IC30" s="97"/>
      <c r="ID30" s="93"/>
      <c r="IE30" s="94"/>
      <c r="IF30" s="95"/>
      <c r="IG30" s="96"/>
      <c r="IH30" s="94"/>
      <c r="II30" s="95"/>
      <c r="IJ30" s="96"/>
      <c r="IK30" s="94"/>
      <c r="IL30" s="95"/>
      <c r="IM30" s="96"/>
      <c r="IN30" s="94"/>
      <c r="IO30" s="95"/>
      <c r="IP30" s="96"/>
      <c r="IQ30" s="94"/>
      <c r="IR30" s="95"/>
      <c r="IS30" s="96"/>
      <c r="IT30" s="94"/>
      <c r="IU30" s="97"/>
      <c r="IV30" s="93"/>
      <c r="IW30" s="94"/>
      <c r="IX30" s="95"/>
      <c r="IY30" s="96"/>
      <c r="IZ30" s="94"/>
      <c r="JA30" s="95"/>
      <c r="JB30" s="96"/>
      <c r="JC30" s="94"/>
      <c r="JD30" s="95"/>
      <c r="JE30" s="96"/>
      <c r="JF30" s="94"/>
      <c r="JG30" s="95"/>
      <c r="JH30" s="96"/>
      <c r="JI30" s="94"/>
      <c r="JJ30" s="95"/>
      <c r="JK30" s="96"/>
      <c r="JL30" s="94"/>
      <c r="JM30" s="97"/>
    </row>
    <row r="31" spans="2:273" ht="19.5" customHeight="1" x14ac:dyDescent="0.2">
      <c r="B31" s="124" t="str">
        <f>Donnees!$C$34</f>
        <v>Développement de la liste de résultats</v>
      </c>
      <c r="C31" s="98">
        <v>44</v>
      </c>
      <c r="D31" s="88"/>
      <c r="E31" s="89"/>
      <c r="F31" s="90"/>
      <c r="G31" s="91"/>
      <c r="H31" s="89"/>
      <c r="I31" s="90"/>
      <c r="J31" s="91"/>
      <c r="K31" s="89"/>
      <c r="L31" s="90"/>
      <c r="M31" s="91"/>
      <c r="N31" s="89"/>
      <c r="O31" s="90"/>
      <c r="P31" s="91"/>
      <c r="Q31" s="89"/>
      <c r="R31" s="90"/>
      <c r="S31" s="91"/>
      <c r="T31" s="89"/>
      <c r="U31" s="92"/>
      <c r="V31" s="88"/>
      <c r="W31" s="89"/>
      <c r="X31" s="90"/>
      <c r="Y31" s="91"/>
      <c r="Z31" s="89"/>
      <c r="AA31" s="90"/>
      <c r="AB31" s="91"/>
      <c r="AC31" s="89"/>
      <c r="AD31" s="90"/>
      <c r="AE31" s="91"/>
      <c r="AF31" s="89"/>
      <c r="AG31" s="90"/>
      <c r="AH31" s="91"/>
      <c r="AI31" s="89"/>
      <c r="AJ31" s="90"/>
      <c r="AK31" s="91"/>
      <c r="AL31" s="89"/>
      <c r="AM31" s="92"/>
      <c r="AN31" s="88"/>
      <c r="AO31" s="89"/>
      <c r="AP31" s="90"/>
      <c r="AQ31" s="91"/>
      <c r="AR31" s="89"/>
      <c r="AS31" s="90"/>
      <c r="AT31" s="91"/>
      <c r="AU31" s="89"/>
      <c r="AV31" s="90"/>
      <c r="AW31" s="91"/>
      <c r="AX31" s="89"/>
      <c r="AY31" s="90"/>
      <c r="AZ31" s="91"/>
      <c r="BA31" s="89"/>
      <c r="BB31" s="90"/>
      <c r="BC31" s="91"/>
      <c r="BD31" s="89"/>
      <c r="BE31" s="92"/>
      <c r="BF31" s="88"/>
      <c r="BG31" s="89"/>
      <c r="BH31" s="90"/>
      <c r="BI31" s="91"/>
      <c r="BJ31" s="89"/>
      <c r="BK31" s="90"/>
      <c r="BL31" s="91"/>
      <c r="BM31" s="89"/>
      <c r="BN31" s="90"/>
      <c r="BO31" s="91"/>
      <c r="BP31" s="89"/>
      <c r="BQ31" s="90"/>
      <c r="BR31" s="91"/>
      <c r="BS31" s="89"/>
      <c r="BT31" s="90"/>
      <c r="BU31" s="91"/>
      <c r="BV31" s="89"/>
      <c r="BW31" s="92"/>
      <c r="BX31" s="88"/>
      <c r="BY31" s="89"/>
      <c r="BZ31" s="90"/>
      <c r="CA31" s="91"/>
      <c r="CB31" s="89"/>
      <c r="CC31" s="90"/>
      <c r="CD31" s="91"/>
      <c r="CE31" s="89"/>
      <c r="CF31" s="90"/>
      <c r="CG31" s="91"/>
      <c r="CH31" s="89"/>
      <c r="CI31" s="90"/>
      <c r="CJ31" s="91"/>
      <c r="CK31" s="89"/>
      <c r="CL31" s="90"/>
      <c r="CM31" s="91"/>
      <c r="CN31" s="89"/>
      <c r="CO31" s="92"/>
      <c r="CP31" s="88"/>
      <c r="CQ31" s="89"/>
      <c r="CR31" s="90"/>
      <c r="CS31" s="91"/>
      <c r="CT31" s="89"/>
      <c r="CU31" s="90"/>
      <c r="CV31" s="91"/>
      <c r="CW31" s="89"/>
      <c r="CX31" s="90"/>
      <c r="CY31" s="91"/>
      <c r="CZ31" s="89"/>
      <c r="DA31" s="90"/>
      <c r="DB31" s="91"/>
      <c r="DC31" s="89"/>
      <c r="DD31" s="90"/>
      <c r="DE31" s="91"/>
      <c r="DF31" s="89"/>
      <c r="DG31" s="92"/>
      <c r="DH31" s="88"/>
      <c r="DI31" s="89"/>
      <c r="DJ31" s="90"/>
      <c r="DK31" s="91"/>
      <c r="DL31" s="89"/>
      <c r="DM31" s="90"/>
      <c r="DN31" s="110"/>
      <c r="DO31" s="108"/>
      <c r="DP31" s="109"/>
      <c r="DQ31" s="110"/>
      <c r="DR31" s="108"/>
      <c r="DS31" s="109"/>
      <c r="DT31" s="110"/>
      <c r="DU31" s="108"/>
      <c r="DV31" s="109"/>
      <c r="DW31" s="110"/>
      <c r="DX31" s="108"/>
      <c r="DY31" s="111"/>
      <c r="DZ31" s="107"/>
      <c r="EA31" s="108"/>
      <c r="EB31" s="109"/>
      <c r="EC31" s="110"/>
      <c r="ED31" s="89"/>
      <c r="EE31" s="90"/>
      <c r="EF31" s="110"/>
      <c r="EG31" s="108"/>
      <c r="EH31" s="109"/>
      <c r="EI31" s="110"/>
      <c r="EJ31" s="108"/>
      <c r="EK31" s="109"/>
      <c r="EL31" s="110"/>
      <c r="EM31" s="108"/>
      <c r="EN31" s="109"/>
      <c r="EO31" s="110"/>
      <c r="EP31" s="108"/>
      <c r="EQ31" s="111"/>
      <c r="ER31" s="107"/>
      <c r="ES31" s="108"/>
      <c r="ET31" s="109"/>
      <c r="EU31" s="110"/>
      <c r="EV31" s="89"/>
      <c r="EW31" s="90"/>
      <c r="EX31" s="110"/>
      <c r="EY31" s="108"/>
      <c r="EZ31" s="109"/>
      <c r="FA31" s="110"/>
      <c r="FB31" s="108"/>
      <c r="FC31" s="109"/>
      <c r="FD31" s="110"/>
      <c r="FE31" s="108"/>
      <c r="FF31" s="90"/>
      <c r="FG31" s="91"/>
      <c r="FH31" s="89"/>
      <c r="FI31" s="111"/>
      <c r="FJ31" s="107"/>
      <c r="FK31" s="108"/>
      <c r="FL31" s="109"/>
      <c r="FM31" s="91"/>
      <c r="FN31" s="89"/>
      <c r="FO31" s="90"/>
      <c r="FP31" s="91"/>
      <c r="FQ31" s="89"/>
      <c r="FR31" s="90"/>
      <c r="FS31" s="91"/>
      <c r="FT31" s="89"/>
      <c r="FU31" s="90"/>
      <c r="FV31" s="91"/>
      <c r="FW31" s="89"/>
      <c r="FX31" s="90"/>
      <c r="FY31" s="91"/>
      <c r="FZ31" s="89"/>
      <c r="GA31" s="92"/>
      <c r="GB31" s="88"/>
      <c r="GC31" s="89"/>
      <c r="GD31" s="90"/>
      <c r="GE31" s="91"/>
      <c r="GF31" s="89"/>
      <c r="GG31" s="90"/>
      <c r="GH31" s="91"/>
      <c r="GI31" s="89"/>
      <c r="GJ31" s="90"/>
      <c r="GK31" s="91"/>
      <c r="GL31" s="89"/>
      <c r="GM31" s="90"/>
      <c r="GN31" s="91"/>
      <c r="GO31" s="89"/>
      <c r="GP31" s="90"/>
      <c r="GQ31" s="91"/>
      <c r="GR31" s="89"/>
      <c r="GS31" s="92"/>
      <c r="GT31" s="88"/>
      <c r="GU31" s="89"/>
      <c r="GV31" s="90"/>
      <c r="GW31" s="91"/>
      <c r="GX31" s="89"/>
      <c r="GY31" s="90"/>
      <c r="GZ31" s="91"/>
      <c r="HA31" s="89"/>
      <c r="HB31" s="90"/>
      <c r="HC31" s="91"/>
      <c r="HD31" s="89"/>
      <c r="HE31" s="90"/>
      <c r="HF31" s="91"/>
      <c r="HG31" s="89"/>
      <c r="HH31" s="90"/>
      <c r="HI31" s="91"/>
      <c r="HJ31" s="89"/>
      <c r="HK31" s="92"/>
      <c r="HL31" s="88"/>
      <c r="HM31" s="89"/>
      <c r="HN31" s="90"/>
      <c r="HO31" s="91"/>
      <c r="HP31" s="89"/>
      <c r="HQ31" s="90"/>
      <c r="HR31" s="91"/>
      <c r="HS31" s="89"/>
      <c r="HT31" s="90"/>
      <c r="HU31" s="91"/>
      <c r="HV31" s="89"/>
      <c r="HW31" s="90"/>
      <c r="HX31" s="91"/>
      <c r="HY31" s="89"/>
      <c r="HZ31" s="90"/>
      <c r="IA31" s="91"/>
      <c r="IB31" s="89"/>
      <c r="IC31" s="92"/>
      <c r="ID31" s="88"/>
      <c r="IE31" s="89"/>
      <c r="IF31" s="90"/>
      <c r="IG31" s="91"/>
      <c r="IH31" s="89"/>
      <c r="II31" s="90"/>
      <c r="IJ31" s="91"/>
      <c r="IK31" s="89"/>
      <c r="IL31" s="90"/>
      <c r="IM31" s="91"/>
      <c r="IN31" s="89"/>
      <c r="IO31" s="90"/>
      <c r="IP31" s="91"/>
      <c r="IQ31" s="89"/>
      <c r="IR31" s="90"/>
      <c r="IS31" s="91"/>
      <c r="IT31" s="89"/>
      <c r="IU31" s="92"/>
      <c r="IV31" s="88"/>
      <c r="IW31" s="89"/>
      <c r="IX31" s="90"/>
      <c r="IY31" s="91"/>
      <c r="IZ31" s="89"/>
      <c r="JA31" s="90"/>
      <c r="JB31" s="91"/>
      <c r="JC31" s="89"/>
      <c r="JD31" s="90"/>
      <c r="JE31" s="91"/>
      <c r="JF31" s="89"/>
      <c r="JG31" s="90"/>
      <c r="JH31" s="91"/>
      <c r="JI31" s="89"/>
      <c r="JJ31" s="90"/>
      <c r="JK31" s="91"/>
      <c r="JL31" s="89"/>
      <c r="JM31" s="92"/>
    </row>
    <row r="32" spans="2:273" ht="19.5" customHeight="1" x14ac:dyDescent="0.2">
      <c r="B32" s="125"/>
      <c r="C32" s="99">
        <v>0</v>
      </c>
      <c r="D32" s="93"/>
      <c r="E32" s="94"/>
      <c r="F32" s="95"/>
      <c r="G32" s="96"/>
      <c r="H32" s="94"/>
      <c r="I32" s="95"/>
      <c r="J32" s="96"/>
      <c r="K32" s="94"/>
      <c r="L32" s="95"/>
      <c r="M32" s="96"/>
      <c r="N32" s="94"/>
      <c r="O32" s="95"/>
      <c r="P32" s="96"/>
      <c r="Q32" s="94"/>
      <c r="R32" s="95"/>
      <c r="S32" s="96"/>
      <c r="T32" s="94"/>
      <c r="U32" s="97"/>
      <c r="V32" s="93"/>
      <c r="W32" s="94"/>
      <c r="X32" s="95"/>
      <c r="Y32" s="96"/>
      <c r="Z32" s="94"/>
      <c r="AA32" s="95"/>
      <c r="AB32" s="96"/>
      <c r="AC32" s="94"/>
      <c r="AD32" s="95"/>
      <c r="AE32" s="96"/>
      <c r="AF32" s="94"/>
      <c r="AG32" s="95"/>
      <c r="AH32" s="96"/>
      <c r="AI32" s="94"/>
      <c r="AJ32" s="95"/>
      <c r="AK32" s="96"/>
      <c r="AL32" s="94"/>
      <c r="AM32" s="97"/>
      <c r="AN32" s="93"/>
      <c r="AO32" s="94"/>
      <c r="AP32" s="95"/>
      <c r="AQ32" s="96"/>
      <c r="AR32" s="94"/>
      <c r="AS32" s="95"/>
      <c r="AT32" s="96"/>
      <c r="AU32" s="94"/>
      <c r="AV32" s="95"/>
      <c r="AW32" s="96"/>
      <c r="AX32" s="94"/>
      <c r="AY32" s="95"/>
      <c r="AZ32" s="96"/>
      <c r="BA32" s="94"/>
      <c r="BB32" s="95"/>
      <c r="BC32" s="96"/>
      <c r="BD32" s="94"/>
      <c r="BE32" s="97"/>
      <c r="BF32" s="93"/>
      <c r="BG32" s="94"/>
      <c r="BH32" s="95"/>
      <c r="BI32" s="96"/>
      <c r="BJ32" s="94"/>
      <c r="BK32" s="95"/>
      <c r="BL32" s="96"/>
      <c r="BM32" s="94"/>
      <c r="BN32" s="95"/>
      <c r="BO32" s="96"/>
      <c r="BP32" s="94"/>
      <c r="BQ32" s="95"/>
      <c r="BR32" s="96"/>
      <c r="BS32" s="94"/>
      <c r="BT32" s="95"/>
      <c r="BU32" s="96"/>
      <c r="BV32" s="94"/>
      <c r="BW32" s="97"/>
      <c r="BX32" s="93"/>
      <c r="BY32" s="94"/>
      <c r="BZ32" s="95"/>
      <c r="CA32" s="96"/>
      <c r="CB32" s="94"/>
      <c r="CC32" s="95"/>
      <c r="CD32" s="96"/>
      <c r="CE32" s="94"/>
      <c r="CF32" s="95"/>
      <c r="CG32" s="96"/>
      <c r="CH32" s="94"/>
      <c r="CI32" s="95"/>
      <c r="CJ32" s="96"/>
      <c r="CK32" s="94"/>
      <c r="CL32" s="95"/>
      <c r="CM32" s="96"/>
      <c r="CN32" s="94"/>
      <c r="CO32" s="97"/>
      <c r="CP32" s="93"/>
      <c r="CQ32" s="94"/>
      <c r="CR32" s="95"/>
      <c r="CS32" s="96"/>
      <c r="CT32" s="94"/>
      <c r="CU32" s="95"/>
      <c r="CV32" s="96"/>
      <c r="CW32" s="94"/>
      <c r="CX32" s="95"/>
      <c r="CY32" s="96"/>
      <c r="CZ32" s="94"/>
      <c r="DA32" s="95"/>
      <c r="DB32" s="96"/>
      <c r="DC32" s="94"/>
      <c r="DD32" s="95"/>
      <c r="DE32" s="96"/>
      <c r="DF32" s="94"/>
      <c r="DG32" s="97"/>
      <c r="DH32" s="93"/>
      <c r="DI32" s="94"/>
      <c r="DJ32" s="95"/>
      <c r="DK32" s="96"/>
      <c r="DL32" s="94"/>
      <c r="DM32" s="95"/>
      <c r="DN32" s="96"/>
      <c r="DO32" s="94"/>
      <c r="DP32" s="95"/>
      <c r="DQ32" s="96"/>
      <c r="DR32" s="94"/>
      <c r="DS32" s="95"/>
      <c r="DT32" s="96"/>
      <c r="DU32" s="94"/>
      <c r="DV32" s="95"/>
      <c r="DW32" s="96"/>
      <c r="DX32" s="94"/>
      <c r="DY32" s="97"/>
      <c r="DZ32" s="93"/>
      <c r="EA32" s="94"/>
      <c r="EB32" s="95"/>
      <c r="EC32" s="96"/>
      <c r="ED32" s="94"/>
      <c r="EE32" s="95"/>
      <c r="EF32" s="96"/>
      <c r="EG32" s="94"/>
      <c r="EH32" s="95"/>
      <c r="EI32" s="96"/>
      <c r="EJ32" s="94"/>
      <c r="EK32" s="95"/>
      <c r="EL32" s="96"/>
      <c r="EM32" s="94"/>
      <c r="EN32" s="95"/>
      <c r="EO32" s="96"/>
      <c r="EP32" s="94"/>
      <c r="EQ32" s="97"/>
      <c r="ER32" s="93"/>
      <c r="ES32" s="94"/>
      <c r="ET32" s="95"/>
      <c r="EU32" s="96"/>
      <c r="EV32" s="94"/>
      <c r="EW32" s="95"/>
      <c r="EX32" s="96"/>
      <c r="EY32" s="94"/>
      <c r="EZ32" s="95"/>
      <c r="FA32" s="96"/>
      <c r="FB32" s="94"/>
      <c r="FC32" s="95"/>
      <c r="FD32" s="96"/>
      <c r="FE32" s="94"/>
      <c r="FF32" s="95"/>
      <c r="FG32" s="96"/>
      <c r="FH32" s="94"/>
      <c r="FI32" s="97"/>
      <c r="FJ32" s="93"/>
      <c r="FK32" s="94"/>
      <c r="FL32" s="95"/>
      <c r="FM32" s="96"/>
      <c r="FN32" s="94"/>
      <c r="FO32" s="95"/>
      <c r="FP32" s="96"/>
      <c r="FQ32" s="94"/>
      <c r="FR32" s="95"/>
      <c r="FS32" s="96"/>
      <c r="FT32" s="94"/>
      <c r="FU32" s="95"/>
      <c r="FV32" s="96"/>
      <c r="FW32" s="94"/>
      <c r="FX32" s="95"/>
      <c r="FY32" s="96"/>
      <c r="FZ32" s="94"/>
      <c r="GA32" s="97"/>
      <c r="GB32" s="93"/>
      <c r="GC32" s="94"/>
      <c r="GD32" s="95"/>
      <c r="GE32" s="96"/>
      <c r="GF32" s="94"/>
      <c r="GG32" s="95"/>
      <c r="GH32" s="96"/>
      <c r="GI32" s="94"/>
      <c r="GJ32" s="95"/>
      <c r="GK32" s="96"/>
      <c r="GL32" s="94"/>
      <c r="GM32" s="95"/>
      <c r="GN32" s="96"/>
      <c r="GO32" s="94"/>
      <c r="GP32" s="95"/>
      <c r="GQ32" s="96"/>
      <c r="GR32" s="94"/>
      <c r="GS32" s="97"/>
      <c r="GT32" s="93"/>
      <c r="GU32" s="94"/>
      <c r="GV32" s="95"/>
      <c r="GW32" s="96"/>
      <c r="GX32" s="94"/>
      <c r="GY32" s="95"/>
      <c r="GZ32" s="96"/>
      <c r="HA32" s="94"/>
      <c r="HB32" s="95"/>
      <c r="HC32" s="96"/>
      <c r="HD32" s="94"/>
      <c r="HE32" s="95"/>
      <c r="HF32" s="96"/>
      <c r="HG32" s="94"/>
      <c r="HH32" s="95"/>
      <c r="HI32" s="96"/>
      <c r="HJ32" s="94"/>
      <c r="HK32" s="97"/>
      <c r="HL32" s="93"/>
      <c r="HM32" s="94"/>
      <c r="HN32" s="95"/>
      <c r="HO32" s="96"/>
      <c r="HP32" s="94"/>
      <c r="HQ32" s="95"/>
      <c r="HR32" s="96"/>
      <c r="HS32" s="94"/>
      <c r="HT32" s="95"/>
      <c r="HU32" s="96"/>
      <c r="HV32" s="94"/>
      <c r="HW32" s="95"/>
      <c r="HX32" s="96"/>
      <c r="HY32" s="94"/>
      <c r="HZ32" s="95"/>
      <c r="IA32" s="96"/>
      <c r="IB32" s="94"/>
      <c r="IC32" s="97"/>
      <c r="ID32" s="93"/>
      <c r="IE32" s="94"/>
      <c r="IF32" s="95"/>
      <c r="IG32" s="96"/>
      <c r="IH32" s="94"/>
      <c r="II32" s="95"/>
      <c r="IJ32" s="96"/>
      <c r="IK32" s="94"/>
      <c r="IL32" s="95"/>
      <c r="IM32" s="96"/>
      <c r="IN32" s="94"/>
      <c r="IO32" s="95"/>
      <c r="IP32" s="96"/>
      <c r="IQ32" s="94"/>
      <c r="IR32" s="95"/>
      <c r="IS32" s="96"/>
      <c r="IT32" s="94"/>
      <c r="IU32" s="97"/>
      <c r="IV32" s="93"/>
      <c r="IW32" s="94"/>
      <c r="IX32" s="95"/>
      <c r="IY32" s="96"/>
      <c r="IZ32" s="94"/>
      <c r="JA32" s="95"/>
      <c r="JB32" s="96"/>
      <c r="JC32" s="94"/>
      <c r="JD32" s="95"/>
      <c r="JE32" s="96"/>
      <c r="JF32" s="94"/>
      <c r="JG32" s="95"/>
      <c r="JH32" s="96"/>
      <c r="JI32" s="94"/>
      <c r="JJ32" s="95"/>
      <c r="JK32" s="96"/>
      <c r="JL32" s="94"/>
      <c r="JM32" s="97"/>
    </row>
    <row r="33" spans="2:273" ht="19.5" customHeight="1" x14ac:dyDescent="0.2">
      <c r="B33" s="47" t="s">
        <v>16</v>
      </c>
      <c r="C33" s="49">
        <f>SUM($C$3,$C$5,$C$7,$C$9,$C$11,$C$13,$C$15,$C$17,$C$19,$C$21,$C$23,$C$25,$C$27,$C$29,$C$31)</f>
        <v>258</v>
      </c>
      <c r="D33" s="101"/>
      <c r="E33" s="102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  <c r="U33" s="103"/>
      <c r="V33" s="101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  <c r="AH33" s="102"/>
      <c r="AI33" s="102"/>
      <c r="AJ33" s="102"/>
      <c r="AK33" s="102"/>
      <c r="AL33" s="102"/>
      <c r="AM33" s="103"/>
      <c r="AN33" s="101"/>
      <c r="AO33" s="102"/>
      <c r="AP33" s="102"/>
      <c r="AQ33" s="102"/>
      <c r="AR33" s="102"/>
      <c r="AS33" s="102"/>
      <c r="AT33" s="102"/>
      <c r="AU33" s="102"/>
      <c r="AV33" s="102"/>
      <c r="AW33" s="102"/>
      <c r="AX33" s="102"/>
      <c r="AY33" s="102"/>
      <c r="AZ33" s="102"/>
      <c r="BA33" s="102"/>
      <c r="BB33" s="102"/>
      <c r="BC33" s="102"/>
      <c r="BD33" s="102"/>
      <c r="BE33" s="103"/>
      <c r="BF33" s="101"/>
      <c r="BG33" s="102"/>
      <c r="BH33" s="102"/>
      <c r="BI33" s="102"/>
      <c r="BJ33" s="102"/>
      <c r="BK33" s="102"/>
      <c r="BL33" s="102"/>
      <c r="BM33" s="102"/>
      <c r="BN33" s="102"/>
      <c r="BO33" s="102"/>
      <c r="BP33" s="102"/>
      <c r="BQ33" s="102"/>
      <c r="BR33" s="102"/>
      <c r="BS33" s="102"/>
      <c r="BT33" s="102"/>
      <c r="BU33" s="102"/>
      <c r="BV33" s="102"/>
      <c r="BW33" s="103"/>
      <c r="BX33" s="101"/>
      <c r="BY33" s="102"/>
      <c r="BZ33" s="102"/>
      <c r="CA33" s="102"/>
      <c r="CB33" s="102"/>
      <c r="CC33" s="102"/>
      <c r="CD33" s="102"/>
      <c r="CE33" s="102"/>
      <c r="CF33" s="102"/>
      <c r="CG33" s="102"/>
      <c r="CH33" s="102"/>
      <c r="CI33" s="102"/>
      <c r="CJ33" s="102"/>
      <c r="CK33" s="102"/>
      <c r="CL33" s="102"/>
      <c r="CM33" s="102"/>
      <c r="CN33" s="102"/>
      <c r="CO33" s="103"/>
      <c r="CP33" s="101"/>
      <c r="CQ33" s="102"/>
      <c r="CR33" s="102"/>
      <c r="CS33" s="102"/>
      <c r="CT33" s="102"/>
      <c r="CU33" s="102"/>
      <c r="CV33" s="102"/>
      <c r="CW33" s="102"/>
      <c r="CX33" s="102"/>
      <c r="CY33" s="102"/>
      <c r="CZ33" s="102"/>
      <c r="DA33" s="102"/>
      <c r="DB33" s="102"/>
      <c r="DC33" s="102"/>
      <c r="DD33" s="102"/>
      <c r="DE33" s="102"/>
      <c r="DF33" s="102"/>
      <c r="DG33" s="103"/>
      <c r="DH33" s="101"/>
      <c r="DI33" s="102"/>
      <c r="DJ33" s="102"/>
      <c r="DK33" s="102"/>
      <c r="DL33" s="102"/>
      <c r="DM33" s="102"/>
      <c r="DN33" s="102"/>
      <c r="DO33" s="102"/>
      <c r="DP33" s="102"/>
      <c r="DQ33" s="102"/>
      <c r="DR33" s="102"/>
      <c r="DS33" s="102"/>
      <c r="DT33" s="102"/>
      <c r="DU33" s="102"/>
      <c r="DV33" s="102"/>
      <c r="DW33" s="102"/>
      <c r="DX33" s="102"/>
      <c r="DY33" s="103"/>
      <c r="DZ33" s="101"/>
      <c r="EA33" s="102"/>
      <c r="EB33" s="102"/>
      <c r="EC33" s="102"/>
      <c r="ED33" s="102"/>
      <c r="EE33" s="102"/>
      <c r="EF33" s="102"/>
      <c r="EG33" s="102"/>
      <c r="EH33" s="102"/>
      <c r="EI33" s="102"/>
      <c r="EJ33" s="102"/>
      <c r="EK33" s="102"/>
      <c r="EL33" s="102"/>
      <c r="EM33" s="102"/>
      <c r="EN33" s="102"/>
      <c r="EO33" s="102"/>
      <c r="EP33" s="102"/>
      <c r="EQ33" s="103"/>
      <c r="ER33" s="101"/>
      <c r="ES33" s="102"/>
      <c r="ET33" s="102"/>
      <c r="EU33" s="102"/>
      <c r="EV33" s="102"/>
      <c r="EW33" s="102"/>
      <c r="EX33" s="102"/>
      <c r="EY33" s="102"/>
      <c r="EZ33" s="102"/>
      <c r="FA33" s="102"/>
      <c r="FB33" s="102"/>
      <c r="FC33" s="102"/>
      <c r="FD33" s="102"/>
      <c r="FE33" s="102"/>
      <c r="FF33" s="102"/>
      <c r="FG33" s="102"/>
      <c r="FH33" s="102"/>
      <c r="FI33" s="103"/>
      <c r="FJ33" s="101"/>
      <c r="FK33" s="102"/>
      <c r="FL33" s="102"/>
      <c r="FM33" s="102"/>
      <c r="FN33" s="102"/>
      <c r="FO33" s="102"/>
      <c r="FP33" s="102"/>
      <c r="FQ33" s="102"/>
      <c r="FR33" s="102"/>
      <c r="FS33" s="102"/>
      <c r="FT33" s="102"/>
      <c r="FU33" s="102"/>
      <c r="FV33" s="102"/>
      <c r="FW33" s="102"/>
      <c r="FX33" s="102"/>
      <c r="FY33" s="102"/>
      <c r="FZ33" s="102"/>
      <c r="GA33" s="103"/>
      <c r="GB33" s="101"/>
      <c r="GC33" s="102"/>
      <c r="GD33" s="102"/>
      <c r="GE33" s="102"/>
      <c r="GF33" s="102"/>
      <c r="GG33" s="102"/>
      <c r="GH33" s="102"/>
      <c r="GI33" s="102"/>
      <c r="GJ33" s="102"/>
      <c r="GK33" s="102"/>
      <c r="GL33" s="102"/>
      <c r="GM33" s="102"/>
      <c r="GN33" s="102"/>
      <c r="GO33" s="102"/>
      <c r="GP33" s="102"/>
      <c r="GQ33" s="102"/>
      <c r="GR33" s="102"/>
      <c r="GS33" s="103"/>
      <c r="GT33" s="101"/>
      <c r="GU33" s="102"/>
      <c r="GV33" s="102"/>
      <c r="GW33" s="102"/>
      <c r="GX33" s="102"/>
      <c r="GY33" s="102"/>
      <c r="GZ33" s="102"/>
      <c r="HA33" s="102"/>
      <c r="HB33" s="102"/>
      <c r="HC33" s="102"/>
      <c r="HD33" s="102"/>
      <c r="HE33" s="102"/>
      <c r="HF33" s="102"/>
      <c r="HG33" s="102"/>
      <c r="HH33" s="102"/>
      <c r="HI33" s="102"/>
      <c r="HJ33" s="102"/>
      <c r="HK33" s="103"/>
      <c r="HL33" s="101"/>
      <c r="HM33" s="102"/>
      <c r="HN33" s="102"/>
      <c r="HO33" s="102"/>
      <c r="HP33" s="102"/>
      <c r="HQ33" s="102"/>
      <c r="HR33" s="102"/>
      <c r="HS33" s="102"/>
      <c r="HT33" s="102"/>
      <c r="HU33" s="102"/>
      <c r="HV33" s="102"/>
      <c r="HW33" s="102"/>
      <c r="HX33" s="102"/>
      <c r="HY33" s="102"/>
      <c r="HZ33" s="102"/>
      <c r="IA33" s="102"/>
      <c r="IB33" s="102"/>
      <c r="IC33" s="103"/>
      <c r="ID33" s="101"/>
      <c r="IE33" s="102"/>
      <c r="IF33" s="102"/>
      <c r="IG33" s="102"/>
      <c r="IH33" s="102"/>
      <c r="II33" s="102"/>
      <c r="IJ33" s="102"/>
      <c r="IK33" s="102"/>
      <c r="IL33" s="102"/>
      <c r="IM33" s="102"/>
      <c r="IN33" s="102"/>
      <c r="IO33" s="102"/>
      <c r="IP33" s="102"/>
      <c r="IQ33" s="102"/>
      <c r="IR33" s="102"/>
      <c r="IS33" s="102"/>
      <c r="IT33" s="102"/>
      <c r="IU33" s="103"/>
      <c r="IV33" s="101"/>
      <c r="IW33" s="102"/>
      <c r="IX33" s="102"/>
      <c r="IY33" s="102"/>
      <c r="IZ33" s="102"/>
      <c r="JA33" s="102"/>
      <c r="JB33" s="102"/>
      <c r="JC33" s="102"/>
      <c r="JD33" s="102"/>
      <c r="JE33" s="102"/>
      <c r="JF33" s="102"/>
      <c r="JG33" s="102"/>
      <c r="JH33" s="102"/>
      <c r="JI33" s="102"/>
      <c r="JJ33" s="102"/>
      <c r="JK33" s="102"/>
      <c r="JL33" s="102"/>
      <c r="JM33" s="103"/>
    </row>
    <row r="34" spans="2:273" ht="19.5" customHeight="1" thickBot="1" x14ac:dyDescent="0.25">
      <c r="B34" s="48" t="s">
        <v>17</v>
      </c>
      <c r="C34" s="50">
        <f>SUM($C$4,$C$6,$C$8,$C$10,$C$12,$C$14,$C$16,$C$18,$C$20,$C$22,$C$24,$C$26,$C$28,$C$30,$C$32)</f>
        <v>58</v>
      </c>
      <c r="D34" s="104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6"/>
      <c r="V34" s="104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6"/>
      <c r="AN34" s="104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6"/>
      <c r="BF34" s="104"/>
      <c r="BG34" s="105"/>
      <c r="BH34" s="105"/>
      <c r="BI34" s="105"/>
      <c r="BJ34" s="105"/>
      <c r="BK34" s="105"/>
      <c r="BL34" s="105"/>
      <c r="BM34" s="105"/>
      <c r="BN34" s="105"/>
      <c r="BO34" s="105"/>
      <c r="BP34" s="105"/>
      <c r="BQ34" s="105"/>
      <c r="BR34" s="105"/>
      <c r="BS34" s="105"/>
      <c r="BT34" s="105"/>
      <c r="BU34" s="105"/>
      <c r="BV34" s="105"/>
      <c r="BW34" s="106"/>
      <c r="BX34" s="104"/>
      <c r="BY34" s="105"/>
      <c r="BZ34" s="105"/>
      <c r="CA34" s="105"/>
      <c r="CB34" s="105"/>
      <c r="CC34" s="105"/>
      <c r="CD34" s="105"/>
      <c r="CE34" s="105"/>
      <c r="CF34" s="105"/>
      <c r="CG34" s="105"/>
      <c r="CH34" s="105"/>
      <c r="CI34" s="105"/>
      <c r="CJ34" s="105"/>
      <c r="CK34" s="105"/>
      <c r="CL34" s="105"/>
      <c r="CM34" s="105"/>
      <c r="CN34" s="105"/>
      <c r="CO34" s="106"/>
      <c r="CP34" s="104"/>
      <c r="CQ34" s="105"/>
      <c r="CR34" s="105"/>
      <c r="CS34" s="105"/>
      <c r="CT34" s="105"/>
      <c r="CU34" s="105"/>
      <c r="CV34" s="105"/>
      <c r="CW34" s="105"/>
      <c r="CX34" s="105"/>
      <c r="CY34" s="105"/>
      <c r="CZ34" s="105"/>
      <c r="DA34" s="105"/>
      <c r="DB34" s="105"/>
      <c r="DC34" s="105"/>
      <c r="DD34" s="105"/>
      <c r="DE34" s="105"/>
      <c r="DF34" s="105"/>
      <c r="DG34" s="106"/>
      <c r="DH34" s="104"/>
      <c r="DI34" s="105"/>
      <c r="DJ34" s="105"/>
      <c r="DK34" s="105"/>
      <c r="DL34" s="105"/>
      <c r="DM34" s="105"/>
      <c r="DN34" s="105"/>
      <c r="DO34" s="105"/>
      <c r="DP34" s="105"/>
      <c r="DQ34" s="105"/>
      <c r="DR34" s="105"/>
      <c r="DS34" s="105"/>
      <c r="DT34" s="105"/>
      <c r="DU34" s="105"/>
      <c r="DV34" s="105"/>
      <c r="DW34" s="105"/>
      <c r="DX34" s="105"/>
      <c r="DY34" s="106"/>
      <c r="DZ34" s="104"/>
      <c r="EA34" s="105"/>
      <c r="EB34" s="105"/>
      <c r="EC34" s="105"/>
      <c r="ED34" s="105"/>
      <c r="EE34" s="105"/>
      <c r="EF34" s="105"/>
      <c r="EG34" s="105"/>
      <c r="EH34" s="105"/>
      <c r="EI34" s="105"/>
      <c r="EJ34" s="105"/>
      <c r="EK34" s="105"/>
      <c r="EL34" s="105"/>
      <c r="EM34" s="105"/>
      <c r="EN34" s="105"/>
      <c r="EO34" s="105"/>
      <c r="EP34" s="105"/>
      <c r="EQ34" s="106"/>
      <c r="ER34" s="104"/>
      <c r="ES34" s="105"/>
      <c r="ET34" s="105"/>
      <c r="EU34" s="105"/>
      <c r="EV34" s="105"/>
      <c r="EW34" s="105"/>
      <c r="EX34" s="105"/>
      <c r="EY34" s="105"/>
      <c r="EZ34" s="105"/>
      <c r="FA34" s="105"/>
      <c r="FB34" s="105"/>
      <c r="FC34" s="105"/>
      <c r="FD34" s="105"/>
      <c r="FE34" s="105"/>
      <c r="FF34" s="105"/>
      <c r="FG34" s="105"/>
      <c r="FH34" s="105"/>
      <c r="FI34" s="106"/>
      <c r="FJ34" s="104"/>
      <c r="FK34" s="105"/>
      <c r="FL34" s="105"/>
      <c r="FM34" s="105"/>
      <c r="FN34" s="105"/>
      <c r="FO34" s="105"/>
      <c r="FP34" s="105"/>
      <c r="FQ34" s="105"/>
      <c r="FR34" s="105"/>
      <c r="FS34" s="105"/>
      <c r="FT34" s="105"/>
      <c r="FU34" s="105"/>
      <c r="FV34" s="105"/>
      <c r="FW34" s="105"/>
      <c r="FX34" s="105"/>
      <c r="FY34" s="105"/>
      <c r="FZ34" s="105"/>
      <c r="GA34" s="106"/>
      <c r="GB34" s="104"/>
      <c r="GC34" s="105"/>
      <c r="GD34" s="105"/>
      <c r="GE34" s="105"/>
      <c r="GF34" s="105"/>
      <c r="GG34" s="105"/>
      <c r="GH34" s="105"/>
      <c r="GI34" s="105"/>
      <c r="GJ34" s="105"/>
      <c r="GK34" s="105"/>
      <c r="GL34" s="105"/>
      <c r="GM34" s="105"/>
      <c r="GN34" s="105"/>
      <c r="GO34" s="105"/>
      <c r="GP34" s="105"/>
      <c r="GQ34" s="105"/>
      <c r="GR34" s="105"/>
      <c r="GS34" s="106"/>
      <c r="GT34" s="104"/>
      <c r="GU34" s="105"/>
      <c r="GV34" s="105"/>
      <c r="GW34" s="105"/>
      <c r="GX34" s="105"/>
      <c r="GY34" s="105"/>
      <c r="GZ34" s="105"/>
      <c r="HA34" s="105"/>
      <c r="HB34" s="105"/>
      <c r="HC34" s="105"/>
      <c r="HD34" s="105"/>
      <c r="HE34" s="105"/>
      <c r="HF34" s="105"/>
      <c r="HG34" s="105"/>
      <c r="HH34" s="105"/>
      <c r="HI34" s="105"/>
      <c r="HJ34" s="105"/>
      <c r="HK34" s="106"/>
      <c r="HL34" s="104"/>
      <c r="HM34" s="105"/>
      <c r="HN34" s="105"/>
      <c r="HO34" s="105"/>
      <c r="HP34" s="105"/>
      <c r="HQ34" s="105"/>
      <c r="HR34" s="105"/>
      <c r="HS34" s="105"/>
      <c r="HT34" s="105"/>
      <c r="HU34" s="105"/>
      <c r="HV34" s="105"/>
      <c r="HW34" s="105"/>
      <c r="HX34" s="105"/>
      <c r="HY34" s="105"/>
      <c r="HZ34" s="105"/>
      <c r="IA34" s="105"/>
      <c r="IB34" s="105"/>
      <c r="IC34" s="106"/>
      <c r="ID34" s="104"/>
      <c r="IE34" s="105"/>
      <c r="IF34" s="105"/>
      <c r="IG34" s="105"/>
      <c r="IH34" s="105"/>
      <c r="II34" s="105"/>
      <c r="IJ34" s="105"/>
      <c r="IK34" s="105"/>
      <c r="IL34" s="105"/>
      <c r="IM34" s="105"/>
      <c r="IN34" s="105"/>
      <c r="IO34" s="105"/>
      <c r="IP34" s="105"/>
      <c r="IQ34" s="105"/>
      <c r="IR34" s="105"/>
      <c r="IS34" s="105"/>
      <c r="IT34" s="105"/>
      <c r="IU34" s="106"/>
      <c r="IV34" s="104"/>
      <c r="IW34" s="105"/>
      <c r="IX34" s="105"/>
      <c r="IY34" s="105"/>
      <c r="IZ34" s="105"/>
      <c r="JA34" s="105"/>
      <c r="JB34" s="105"/>
      <c r="JC34" s="105"/>
      <c r="JD34" s="105"/>
      <c r="JE34" s="105"/>
      <c r="JF34" s="105"/>
      <c r="JG34" s="105"/>
      <c r="JH34" s="105"/>
      <c r="JI34" s="105"/>
      <c r="JJ34" s="105"/>
      <c r="JK34" s="105"/>
      <c r="JL34" s="105"/>
      <c r="JM34" s="106"/>
    </row>
  </sheetData>
  <sheetProtection sheet="1" objects="1" scenarios="1" insertRows="0" selectLockedCells="1"/>
  <mergeCells count="30">
    <mergeCell ref="IV2:JM2"/>
    <mergeCell ref="BF2:BW2"/>
    <mergeCell ref="BX2:CO2"/>
    <mergeCell ref="CP2:DG2"/>
    <mergeCell ref="DH2:DY2"/>
    <mergeCell ref="DZ2:EQ2"/>
    <mergeCell ref="ER2:FI2"/>
    <mergeCell ref="FJ2:GA2"/>
    <mergeCell ref="GB2:GS2"/>
    <mergeCell ref="GT2:HK2"/>
    <mergeCell ref="HL2:IC2"/>
    <mergeCell ref="ID2:IU2"/>
    <mergeCell ref="B27:B28"/>
    <mergeCell ref="B29:B30"/>
    <mergeCell ref="B31:B32"/>
    <mergeCell ref="D2:U2"/>
    <mergeCell ref="V2:AM2"/>
    <mergeCell ref="B23:B24"/>
    <mergeCell ref="B25:B26"/>
    <mergeCell ref="AN2:BE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3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8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6" t="s">
        <v>21</v>
      </c>
      <c r="C3" s="30">
        <v>0</v>
      </c>
    </row>
    <row r="4" spans="1:4" ht="19.5" customHeight="1" x14ac:dyDescent="0.2">
      <c r="A4" s="34"/>
      <c r="B4" s="12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17"/>
  <sheetViews>
    <sheetView view="pageBreakPreview" topLeftCell="A94" zoomScale="115" zoomScaleNormal="100" zoomScaleSheetLayoutView="115" workbookViewId="0">
      <selection activeCell="A114" sqref="A11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1" customFormat="1" ht="27" x14ac:dyDescent="0.2">
      <c r="A3" s="9" t="s">
        <v>27</v>
      </c>
      <c r="B3" s="8">
        <v>2</v>
      </c>
      <c r="C3" s="13" t="s">
        <v>65</v>
      </c>
      <c r="D3" s="13"/>
    </row>
    <row r="4" spans="1:9" s="81" customFormat="1" ht="27" x14ac:dyDescent="0.2">
      <c r="A4" s="5" t="s">
        <v>58</v>
      </c>
      <c r="B4" s="6">
        <v>4</v>
      </c>
      <c r="C4" s="14" t="s">
        <v>59</v>
      </c>
      <c r="D4" s="14"/>
    </row>
    <row r="5" spans="1:9" s="81" customFormat="1" ht="27" x14ac:dyDescent="0.2">
      <c r="A5" s="5" t="s">
        <v>25</v>
      </c>
      <c r="B5" s="6">
        <v>4</v>
      </c>
      <c r="C5" s="14" t="s">
        <v>60</v>
      </c>
      <c r="D5" s="14"/>
    </row>
    <row r="6" spans="1:9" s="81" customFormat="1" ht="13.5" x14ac:dyDescent="0.2">
      <c r="A6" s="5" t="s">
        <v>24</v>
      </c>
      <c r="B6" s="6">
        <v>5</v>
      </c>
      <c r="C6" s="14" t="s">
        <v>66</v>
      </c>
      <c r="D6" s="14"/>
    </row>
    <row r="7" spans="1:9" s="81" customFormat="1" ht="27.75" thickBot="1" x14ac:dyDescent="0.25">
      <c r="A7" s="5" t="s">
        <v>31</v>
      </c>
      <c r="B7" s="6">
        <v>3</v>
      </c>
      <c r="C7" s="14" t="s">
        <v>67</v>
      </c>
      <c r="D7" s="14"/>
    </row>
    <row r="8" spans="1:9" ht="14.25" thickBot="1" x14ac:dyDescent="0.25">
      <c r="A8" s="16" t="s">
        <v>22</v>
      </c>
      <c r="B8" s="16">
        <f>SUM(B3:B7)</f>
        <v>18</v>
      </c>
      <c r="C8" s="83" t="s">
        <v>48</v>
      </c>
      <c r="D8" s="17"/>
    </row>
    <row r="9" spans="1:9" ht="15" thickBot="1" x14ac:dyDescent="0.35">
      <c r="A9" s="18"/>
      <c r="B9" s="18"/>
      <c r="C9" s="18"/>
      <c r="D9" s="18"/>
    </row>
    <row r="10" spans="1:9" ht="18.75" thickBot="1" x14ac:dyDescent="0.25">
      <c r="A10" s="10" t="s">
        <v>14</v>
      </c>
      <c r="B10" s="11">
        <v>2</v>
      </c>
      <c r="C10" s="31"/>
      <c r="D10" s="33"/>
    </row>
    <row r="11" spans="1:9" ht="27.75" thickBot="1" x14ac:dyDescent="0.25">
      <c r="A11" s="12" t="s">
        <v>3</v>
      </c>
      <c r="B11" s="32" t="s">
        <v>15</v>
      </c>
      <c r="C11" s="12" t="s">
        <v>7</v>
      </c>
      <c r="D11" s="12" t="s">
        <v>13</v>
      </c>
    </row>
    <row r="12" spans="1:9" ht="27" x14ac:dyDescent="0.2">
      <c r="A12" s="9" t="s">
        <v>25</v>
      </c>
      <c r="B12" s="8">
        <v>6</v>
      </c>
      <c r="C12" s="13" t="s">
        <v>61</v>
      </c>
      <c r="D12" s="13"/>
    </row>
    <row r="13" spans="1:9" ht="27" x14ac:dyDescent="0.2">
      <c r="A13" s="5" t="s">
        <v>58</v>
      </c>
      <c r="B13" s="6">
        <v>8</v>
      </c>
      <c r="C13" s="14" t="s">
        <v>63</v>
      </c>
      <c r="D13" s="14"/>
    </row>
    <row r="14" spans="1:9" ht="27" x14ac:dyDescent="0.2">
      <c r="A14" s="5" t="s">
        <v>27</v>
      </c>
      <c r="B14" s="6">
        <v>1</v>
      </c>
      <c r="C14" s="14" t="s">
        <v>62</v>
      </c>
      <c r="D14" s="14"/>
      <c r="E14" s="37"/>
      <c r="F14" s="37"/>
      <c r="G14" s="37"/>
      <c r="H14" s="37"/>
      <c r="I14" s="37"/>
    </row>
    <row r="15" spans="1:9" ht="12.75" customHeight="1" thickBot="1" x14ac:dyDescent="0.25">
      <c r="A15" s="5" t="s">
        <v>42</v>
      </c>
      <c r="B15" s="6">
        <v>3</v>
      </c>
      <c r="C15" s="14" t="s">
        <v>69</v>
      </c>
      <c r="D15" s="14"/>
      <c r="E15" s="37"/>
      <c r="F15" s="54"/>
      <c r="G15" s="55"/>
      <c r="H15" s="56"/>
      <c r="I15" s="37"/>
    </row>
    <row r="16" spans="1:9" ht="14.25" thickBot="1" x14ac:dyDescent="0.25">
      <c r="A16" s="16" t="s">
        <v>22</v>
      </c>
      <c r="B16" s="16">
        <f>SUM(B12:B15)</f>
        <v>18</v>
      </c>
      <c r="C16" s="83" t="s">
        <v>48</v>
      </c>
      <c r="D16" s="17"/>
      <c r="E16" s="37"/>
      <c r="F16" s="59"/>
      <c r="G16" s="60"/>
      <c r="H16" s="60"/>
      <c r="I16" s="37"/>
    </row>
    <row r="17" spans="1:9" ht="15" thickBot="1" x14ac:dyDescent="0.35">
      <c r="A17" s="18"/>
      <c r="B17" s="18"/>
      <c r="C17" s="18"/>
      <c r="D17" s="18"/>
      <c r="E17" s="37"/>
      <c r="F17" s="59"/>
      <c r="G17" s="60"/>
      <c r="H17" s="60"/>
      <c r="I17" s="37"/>
    </row>
    <row r="18" spans="1:9" ht="18.75" thickBot="1" x14ac:dyDescent="0.25">
      <c r="A18" s="10" t="s">
        <v>14</v>
      </c>
      <c r="B18" s="11">
        <v>3</v>
      </c>
      <c r="C18" s="31"/>
      <c r="D18" s="33"/>
      <c r="E18" s="37"/>
      <c r="F18" s="59"/>
      <c r="G18" s="60"/>
      <c r="H18" s="60"/>
      <c r="I18" s="37"/>
    </row>
    <row r="19" spans="1:9" ht="27.75" thickBot="1" x14ac:dyDescent="0.25">
      <c r="A19" s="12" t="s">
        <v>3</v>
      </c>
      <c r="B19" s="32" t="s">
        <v>15</v>
      </c>
      <c r="C19" s="12" t="s">
        <v>7</v>
      </c>
      <c r="D19" s="12" t="s">
        <v>13</v>
      </c>
      <c r="E19" s="37"/>
      <c r="F19" s="61"/>
      <c r="G19" s="62"/>
      <c r="H19" s="62"/>
      <c r="I19" s="37"/>
    </row>
    <row r="20" spans="1:9" ht="27" x14ac:dyDescent="0.3">
      <c r="A20" s="9" t="s">
        <v>44</v>
      </c>
      <c r="B20" s="8">
        <v>10</v>
      </c>
      <c r="C20" s="13" t="s">
        <v>68</v>
      </c>
      <c r="D20" s="13"/>
      <c r="E20" s="37"/>
      <c r="F20" s="63"/>
      <c r="G20" s="63"/>
      <c r="H20" s="63"/>
      <c r="I20" s="37"/>
    </row>
    <row r="21" spans="1:9" ht="27" x14ac:dyDescent="0.2">
      <c r="A21" s="5" t="s">
        <v>43</v>
      </c>
      <c r="B21" s="6">
        <v>1</v>
      </c>
      <c r="C21" s="14" t="s">
        <v>70</v>
      </c>
      <c r="D21" s="14"/>
      <c r="E21" s="37"/>
      <c r="F21" s="37"/>
      <c r="G21" s="37"/>
      <c r="H21" s="37"/>
      <c r="I21" s="37"/>
    </row>
    <row r="22" spans="1:9" ht="40.5" x14ac:dyDescent="0.2">
      <c r="A22" s="5" t="s">
        <v>45</v>
      </c>
      <c r="B22" s="6">
        <v>3</v>
      </c>
      <c r="C22" s="14" t="s">
        <v>79</v>
      </c>
      <c r="D22" s="14"/>
      <c r="E22" s="37"/>
      <c r="F22" s="37"/>
      <c r="G22" s="37"/>
      <c r="H22" s="37"/>
      <c r="I22" s="37"/>
    </row>
    <row r="23" spans="1:9" ht="14.25" thickBot="1" x14ac:dyDescent="0.25">
      <c r="A23" s="5" t="s">
        <v>26</v>
      </c>
      <c r="B23" s="6">
        <v>4</v>
      </c>
      <c r="C23" s="14" t="s">
        <v>71</v>
      </c>
      <c r="D23" s="14"/>
      <c r="E23" s="37"/>
      <c r="F23" s="37"/>
      <c r="G23" s="37"/>
      <c r="H23" s="37"/>
      <c r="I23" s="37"/>
    </row>
    <row r="24" spans="1:9" ht="14.25" thickBot="1" x14ac:dyDescent="0.25">
      <c r="A24" s="16" t="s">
        <v>22</v>
      </c>
      <c r="B24" s="16">
        <f>SUM(B20:B23)</f>
        <v>18</v>
      </c>
      <c r="C24" s="83" t="s">
        <v>48</v>
      </c>
      <c r="D24" s="17"/>
    </row>
    <row r="25" spans="1:9" ht="15" thickBot="1" x14ac:dyDescent="0.35">
      <c r="A25" s="18"/>
      <c r="B25" s="18"/>
      <c r="C25" s="18"/>
      <c r="D25" s="18"/>
    </row>
    <row r="26" spans="1:9" ht="18.75" thickBot="1" x14ac:dyDescent="0.25">
      <c r="A26" s="10" t="s">
        <v>14</v>
      </c>
      <c r="B26" s="11">
        <v>4</v>
      </c>
      <c r="C26" s="31"/>
      <c r="D26" s="33"/>
    </row>
    <row r="27" spans="1:9" ht="27.75" thickBot="1" x14ac:dyDescent="0.25">
      <c r="A27" s="12" t="s">
        <v>3</v>
      </c>
      <c r="B27" s="32" t="s">
        <v>15</v>
      </c>
      <c r="C27" s="12" t="s">
        <v>7</v>
      </c>
      <c r="D27" s="12" t="s">
        <v>13</v>
      </c>
    </row>
    <row r="28" spans="1:9" ht="14.25" thickBot="1" x14ac:dyDescent="0.25">
      <c r="A28" s="9" t="s">
        <v>21</v>
      </c>
      <c r="B28" s="8">
        <v>18</v>
      </c>
      <c r="C28" s="13" t="s">
        <v>64</v>
      </c>
      <c r="D28" s="13"/>
    </row>
    <row r="29" spans="1:9" ht="14.25" thickBot="1" x14ac:dyDescent="0.25">
      <c r="A29" s="16" t="s">
        <v>22</v>
      </c>
      <c r="B29" s="16">
        <f>SUM(B28:B28)</f>
        <v>18</v>
      </c>
      <c r="C29" s="83" t="s">
        <v>48</v>
      </c>
      <c r="D29" s="17"/>
    </row>
    <row r="30" spans="1:9" ht="15" thickBot="1" x14ac:dyDescent="0.35">
      <c r="A30" s="18"/>
      <c r="B30" s="18"/>
      <c r="C30" s="18"/>
      <c r="D30" s="18"/>
    </row>
    <row r="31" spans="1:9" ht="18.75" thickBot="1" x14ac:dyDescent="0.25">
      <c r="A31" s="10" t="s">
        <v>14</v>
      </c>
      <c r="B31" s="11">
        <v>5</v>
      </c>
      <c r="C31" s="31"/>
      <c r="D31" s="33"/>
    </row>
    <row r="32" spans="1:9" ht="27.75" thickBot="1" x14ac:dyDescent="0.25">
      <c r="A32" s="12" t="s">
        <v>3</v>
      </c>
      <c r="B32" s="32" t="s">
        <v>15</v>
      </c>
      <c r="C32" s="12" t="s">
        <v>7</v>
      </c>
      <c r="D32" s="12" t="s">
        <v>13</v>
      </c>
    </row>
    <row r="33" spans="1:4" ht="40.5" x14ac:dyDescent="0.2">
      <c r="A33" s="9" t="s">
        <v>45</v>
      </c>
      <c r="B33" s="8">
        <v>14</v>
      </c>
      <c r="C33" s="13" t="s">
        <v>80</v>
      </c>
      <c r="D33" s="13"/>
    </row>
    <row r="34" spans="1:4" ht="13.5" x14ac:dyDescent="0.2">
      <c r="A34" s="5" t="s">
        <v>26</v>
      </c>
      <c r="B34" s="6">
        <v>3</v>
      </c>
      <c r="C34" s="14" t="s">
        <v>72</v>
      </c>
      <c r="D34" s="14"/>
    </row>
    <row r="35" spans="1:4" ht="27.75" thickBot="1" x14ac:dyDescent="0.25">
      <c r="A35" s="5" t="s">
        <v>43</v>
      </c>
      <c r="B35" s="6">
        <v>1</v>
      </c>
      <c r="C35" s="14" t="s">
        <v>73</v>
      </c>
      <c r="D35" s="14"/>
    </row>
    <row r="36" spans="1:4" ht="14.25" thickBot="1" x14ac:dyDescent="0.25">
      <c r="A36" s="16" t="s">
        <v>22</v>
      </c>
      <c r="B36" s="16">
        <f>SUM(B33:B35)</f>
        <v>18</v>
      </c>
      <c r="C36" s="83" t="s">
        <v>48</v>
      </c>
      <c r="D36" s="17"/>
    </row>
    <row r="37" spans="1:4" ht="15" thickBot="1" x14ac:dyDescent="0.35">
      <c r="A37" s="18"/>
      <c r="B37" s="18"/>
      <c r="C37" s="18"/>
      <c r="D37" s="18"/>
    </row>
    <row r="38" spans="1:4" ht="18.75" thickBot="1" x14ac:dyDescent="0.25">
      <c r="A38" s="10" t="s">
        <v>14</v>
      </c>
      <c r="B38" s="11">
        <v>6</v>
      </c>
      <c r="C38" s="31"/>
      <c r="D38" s="33"/>
    </row>
    <row r="39" spans="1:4" ht="27.75" thickBot="1" x14ac:dyDescent="0.25">
      <c r="A39" s="12" t="s">
        <v>3</v>
      </c>
      <c r="B39" s="32" t="s">
        <v>15</v>
      </c>
      <c r="C39" s="12" t="s">
        <v>7</v>
      </c>
      <c r="D39" s="12" t="s">
        <v>13</v>
      </c>
    </row>
    <row r="40" spans="1:4" ht="40.5" x14ac:dyDescent="0.2">
      <c r="A40" s="9" t="s">
        <v>45</v>
      </c>
      <c r="B40" s="8">
        <v>14</v>
      </c>
      <c r="C40" s="13" t="s">
        <v>81</v>
      </c>
      <c r="D40" s="13"/>
    </row>
    <row r="41" spans="1:4" ht="13.5" x14ac:dyDescent="0.2">
      <c r="A41" s="5" t="s">
        <v>26</v>
      </c>
      <c r="B41" s="6">
        <v>3</v>
      </c>
      <c r="C41" s="14" t="s">
        <v>72</v>
      </c>
      <c r="D41" s="14"/>
    </row>
    <row r="42" spans="1:4" ht="27.75" thickBot="1" x14ac:dyDescent="0.25">
      <c r="A42" s="5" t="s">
        <v>43</v>
      </c>
      <c r="B42" s="6">
        <v>1</v>
      </c>
      <c r="C42" s="14" t="s">
        <v>73</v>
      </c>
      <c r="D42" s="14"/>
    </row>
    <row r="43" spans="1:4" ht="14.25" thickBot="1" x14ac:dyDescent="0.25">
      <c r="A43" s="16" t="s">
        <v>22</v>
      </c>
      <c r="B43" s="16">
        <f>SUM(B40:B42)</f>
        <v>18</v>
      </c>
      <c r="C43" s="83" t="s">
        <v>48</v>
      </c>
      <c r="D43" s="17"/>
    </row>
    <row r="44" spans="1:4" ht="15" thickBot="1" x14ac:dyDescent="0.35">
      <c r="A44" s="18"/>
      <c r="B44" s="18"/>
      <c r="C44" s="18"/>
      <c r="D44" s="18"/>
    </row>
    <row r="45" spans="1:4" ht="18.75" thickBot="1" x14ac:dyDescent="0.25">
      <c r="A45" s="10" t="s">
        <v>14</v>
      </c>
      <c r="B45" s="11">
        <v>7</v>
      </c>
      <c r="C45" s="31"/>
      <c r="D45" s="33"/>
    </row>
    <row r="46" spans="1:4" ht="27.75" thickBot="1" x14ac:dyDescent="0.25">
      <c r="A46" s="12" t="s">
        <v>3</v>
      </c>
      <c r="B46" s="32" t="s">
        <v>15</v>
      </c>
      <c r="C46" s="12" t="s">
        <v>7</v>
      </c>
      <c r="D46" s="12" t="s">
        <v>13</v>
      </c>
    </row>
    <row r="47" spans="1:4" ht="40.5" x14ac:dyDescent="0.2">
      <c r="A47" s="9" t="s">
        <v>45</v>
      </c>
      <c r="B47" s="8">
        <v>7</v>
      </c>
      <c r="C47" s="13" t="s">
        <v>82</v>
      </c>
      <c r="D47" s="13"/>
    </row>
    <row r="48" spans="1:4" ht="27" x14ac:dyDescent="0.2">
      <c r="A48" s="5" t="s">
        <v>43</v>
      </c>
      <c r="B48" s="6">
        <v>1</v>
      </c>
      <c r="C48" s="14" t="s">
        <v>73</v>
      </c>
      <c r="D48" s="14"/>
    </row>
    <row r="49" spans="1:4" ht="13.5" x14ac:dyDescent="0.2">
      <c r="A49" s="5" t="s">
        <v>26</v>
      </c>
      <c r="B49" s="6">
        <v>2</v>
      </c>
      <c r="C49" s="14" t="s">
        <v>72</v>
      </c>
      <c r="D49" s="14"/>
    </row>
    <row r="50" spans="1:4" ht="27" x14ac:dyDescent="0.2">
      <c r="A50" s="5" t="s">
        <v>28</v>
      </c>
      <c r="B50" s="6">
        <v>3</v>
      </c>
      <c r="C50" s="14" t="s">
        <v>83</v>
      </c>
      <c r="D50" s="14"/>
    </row>
    <row r="51" spans="1:4" ht="13.5" x14ac:dyDescent="0.2">
      <c r="A51" s="5" t="s">
        <v>29</v>
      </c>
      <c r="B51" s="6">
        <v>2</v>
      </c>
      <c r="C51" s="14" t="s">
        <v>84</v>
      </c>
      <c r="D51" s="14"/>
    </row>
    <row r="52" spans="1:4" ht="41.25" thickBot="1" x14ac:dyDescent="0.25">
      <c r="A52" s="5" t="s">
        <v>45</v>
      </c>
      <c r="B52" s="6">
        <v>3</v>
      </c>
      <c r="C52" s="14" t="s">
        <v>85</v>
      </c>
      <c r="D52" s="14"/>
    </row>
    <row r="53" spans="1:4" ht="14.25" thickBot="1" x14ac:dyDescent="0.25">
      <c r="A53" s="16" t="s">
        <v>22</v>
      </c>
      <c r="B53" s="16">
        <f>SUM(B47:B52)</f>
        <v>18</v>
      </c>
      <c r="C53" s="83" t="s">
        <v>48</v>
      </c>
      <c r="D53" s="17"/>
    </row>
    <row r="54" spans="1:4" ht="15" thickBot="1" x14ac:dyDescent="0.35">
      <c r="A54" s="18"/>
      <c r="B54" s="18"/>
      <c r="C54" s="18"/>
      <c r="D54" s="18"/>
    </row>
    <row r="55" spans="1:4" ht="18.75" thickBot="1" x14ac:dyDescent="0.25">
      <c r="A55" s="10" t="s">
        <v>14</v>
      </c>
      <c r="B55" s="11">
        <v>8</v>
      </c>
      <c r="C55" s="31"/>
      <c r="D55" s="33"/>
    </row>
    <row r="56" spans="1:4" ht="27.75" thickBot="1" x14ac:dyDescent="0.25">
      <c r="A56" s="12" t="s">
        <v>3</v>
      </c>
      <c r="B56" s="32" t="s">
        <v>15</v>
      </c>
      <c r="C56" s="12" t="s">
        <v>7</v>
      </c>
      <c r="D56" s="12" t="s">
        <v>13</v>
      </c>
    </row>
    <row r="57" spans="1:4" ht="27" x14ac:dyDescent="0.2">
      <c r="A57" s="9" t="s">
        <v>47</v>
      </c>
      <c r="B57" s="8">
        <v>16</v>
      </c>
      <c r="C57" s="13"/>
      <c r="D57" s="13"/>
    </row>
    <row r="58" spans="1:4" ht="27" x14ac:dyDescent="0.2">
      <c r="A58" s="5" t="s">
        <v>43</v>
      </c>
      <c r="B58" s="6">
        <v>1</v>
      </c>
      <c r="C58" s="14" t="s">
        <v>73</v>
      </c>
      <c r="D58" s="14"/>
    </row>
    <row r="59" spans="1:4" ht="14.25" thickBot="1" x14ac:dyDescent="0.25">
      <c r="A59" s="5" t="s">
        <v>26</v>
      </c>
      <c r="B59" s="6">
        <v>1</v>
      </c>
      <c r="C59" s="14" t="s">
        <v>73</v>
      </c>
      <c r="D59" s="14"/>
    </row>
    <row r="60" spans="1:4" ht="14.25" thickBot="1" x14ac:dyDescent="0.25">
      <c r="A60" s="16" t="s">
        <v>22</v>
      </c>
      <c r="B60" s="16">
        <f>SUM(B57:B59)</f>
        <v>18</v>
      </c>
      <c r="C60" s="83" t="s">
        <v>48</v>
      </c>
      <c r="D60" s="17"/>
    </row>
    <row r="61" spans="1:4" ht="15" thickBot="1" x14ac:dyDescent="0.35">
      <c r="A61" s="18"/>
      <c r="B61" s="18"/>
      <c r="C61" s="18"/>
      <c r="D61" s="18"/>
    </row>
    <row r="62" spans="1:4" ht="18.75" thickBot="1" x14ac:dyDescent="0.25">
      <c r="A62" s="10" t="s">
        <v>14</v>
      </c>
      <c r="B62" s="11">
        <v>9</v>
      </c>
      <c r="C62" s="31"/>
      <c r="D62" s="33"/>
    </row>
    <row r="63" spans="1:4" ht="27.75" thickBot="1" x14ac:dyDescent="0.25">
      <c r="A63" s="12" t="s">
        <v>3</v>
      </c>
      <c r="B63" s="32" t="s">
        <v>15</v>
      </c>
      <c r="C63" s="12" t="s">
        <v>7</v>
      </c>
      <c r="D63" s="12" t="s">
        <v>13</v>
      </c>
    </row>
    <row r="64" spans="1:4" ht="27" x14ac:dyDescent="0.2">
      <c r="A64" s="9" t="s">
        <v>47</v>
      </c>
      <c r="B64" s="8">
        <v>16</v>
      </c>
      <c r="C64" s="13"/>
      <c r="D64" s="13"/>
    </row>
    <row r="65" spans="1:4" ht="27" x14ac:dyDescent="0.2">
      <c r="A65" s="5" t="s">
        <v>43</v>
      </c>
      <c r="B65" s="6">
        <v>1</v>
      </c>
      <c r="C65" s="14" t="s">
        <v>73</v>
      </c>
      <c r="D65" s="14"/>
    </row>
    <row r="66" spans="1:4" ht="14.25" thickBot="1" x14ac:dyDescent="0.25">
      <c r="A66" s="5" t="s">
        <v>26</v>
      </c>
      <c r="B66" s="6">
        <v>1</v>
      </c>
      <c r="C66" s="14" t="s">
        <v>73</v>
      </c>
      <c r="D66" s="14"/>
    </row>
    <row r="67" spans="1:4" ht="14.25" thickBot="1" x14ac:dyDescent="0.25">
      <c r="A67" s="16" t="s">
        <v>22</v>
      </c>
      <c r="B67" s="16">
        <f>SUM(B64:B66)</f>
        <v>18</v>
      </c>
      <c r="C67" s="83" t="s">
        <v>48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10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27" x14ac:dyDescent="0.2">
      <c r="A71" s="9" t="s">
        <v>47</v>
      </c>
      <c r="B71" s="8">
        <v>8</v>
      </c>
      <c r="C71" s="13" t="s">
        <v>88</v>
      </c>
      <c r="D71" s="13"/>
    </row>
    <row r="72" spans="1:4" ht="27" x14ac:dyDescent="0.2">
      <c r="A72" s="5" t="s">
        <v>28</v>
      </c>
      <c r="B72" s="6">
        <v>1</v>
      </c>
      <c r="C72" s="14" t="s">
        <v>90</v>
      </c>
      <c r="D72" s="14"/>
    </row>
    <row r="73" spans="1:4" ht="13.5" x14ac:dyDescent="0.2">
      <c r="A73" s="5" t="s">
        <v>29</v>
      </c>
      <c r="B73" s="6">
        <v>2</v>
      </c>
      <c r="C73" s="14" t="s">
        <v>91</v>
      </c>
      <c r="D73" s="14"/>
    </row>
    <row r="74" spans="1:4" ht="27" x14ac:dyDescent="0.2">
      <c r="A74" s="5" t="s">
        <v>47</v>
      </c>
      <c r="B74" s="6">
        <v>4</v>
      </c>
      <c r="C74" s="14" t="s">
        <v>89</v>
      </c>
      <c r="D74" s="14"/>
    </row>
    <row r="75" spans="1:4" ht="13.5" x14ac:dyDescent="0.2">
      <c r="A75" s="5" t="s">
        <v>26</v>
      </c>
      <c r="B75" s="6">
        <v>2</v>
      </c>
      <c r="C75" s="14" t="s">
        <v>72</v>
      </c>
      <c r="D75" s="14"/>
    </row>
    <row r="76" spans="1:4" ht="27.75" thickBot="1" x14ac:dyDescent="0.25">
      <c r="A76" s="5" t="s">
        <v>43</v>
      </c>
      <c r="B76" s="6">
        <v>1</v>
      </c>
      <c r="C76" s="14" t="s">
        <v>73</v>
      </c>
      <c r="D76" s="14"/>
    </row>
    <row r="77" spans="1:4" ht="14.25" thickBot="1" x14ac:dyDescent="0.25">
      <c r="A77" s="16" t="s">
        <v>22</v>
      </c>
      <c r="B77" s="16">
        <f>SUM(B71:B76)</f>
        <v>18</v>
      </c>
      <c r="C77" s="83" t="s">
        <v>48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11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27" x14ac:dyDescent="0.2">
      <c r="A81" s="9" t="s">
        <v>46</v>
      </c>
      <c r="B81" s="8">
        <v>16</v>
      </c>
      <c r="C81" s="13"/>
      <c r="D81" s="13"/>
    </row>
    <row r="82" spans="1:4" ht="13.5" x14ac:dyDescent="0.2">
      <c r="A82" s="5" t="s">
        <v>26</v>
      </c>
      <c r="B82" s="6">
        <v>1</v>
      </c>
      <c r="C82" s="14" t="s">
        <v>72</v>
      </c>
      <c r="D82" s="14"/>
    </row>
    <row r="83" spans="1:4" ht="27.75" thickBot="1" x14ac:dyDescent="0.25">
      <c r="A83" s="5" t="s">
        <v>43</v>
      </c>
      <c r="B83" s="6">
        <v>1</v>
      </c>
      <c r="C83" s="14" t="s">
        <v>73</v>
      </c>
      <c r="D83" s="14"/>
    </row>
    <row r="84" spans="1:4" ht="14.25" thickBot="1" x14ac:dyDescent="0.25">
      <c r="A84" s="16" t="s">
        <v>22</v>
      </c>
      <c r="B84" s="16">
        <f>SUM(B81:B83)</f>
        <v>18</v>
      </c>
      <c r="C84" s="83" t="s">
        <v>48</v>
      </c>
      <c r="D84" s="17"/>
    </row>
    <row r="85" spans="1:4" ht="15" thickBot="1" x14ac:dyDescent="0.35">
      <c r="A85" s="18"/>
      <c r="B85" s="18"/>
      <c r="C85" s="18"/>
      <c r="D85" s="18"/>
    </row>
    <row r="86" spans="1:4" ht="18.75" thickBot="1" x14ac:dyDescent="0.25">
      <c r="A86" s="10" t="s">
        <v>14</v>
      </c>
      <c r="B86" s="11">
        <v>12</v>
      </c>
      <c r="C86" s="31"/>
      <c r="D86" s="33"/>
    </row>
    <row r="87" spans="1:4" ht="27.75" thickBot="1" x14ac:dyDescent="0.25">
      <c r="A87" s="12" t="s">
        <v>3</v>
      </c>
      <c r="B87" s="32" t="s">
        <v>15</v>
      </c>
      <c r="C87" s="12" t="s">
        <v>7</v>
      </c>
      <c r="D87" s="12" t="s">
        <v>13</v>
      </c>
    </row>
    <row r="88" spans="1:4" ht="27" x14ac:dyDescent="0.2">
      <c r="A88" s="9" t="s">
        <v>46</v>
      </c>
      <c r="B88" s="8">
        <v>16</v>
      </c>
      <c r="C88" s="13"/>
      <c r="D88" s="13"/>
    </row>
    <row r="89" spans="1:4" ht="13.5" x14ac:dyDescent="0.2">
      <c r="A89" s="5" t="s">
        <v>26</v>
      </c>
      <c r="B89" s="6">
        <v>1</v>
      </c>
      <c r="C89" s="14" t="s">
        <v>72</v>
      </c>
      <c r="D89" s="14"/>
    </row>
    <row r="90" spans="1:4" ht="27.75" thickBot="1" x14ac:dyDescent="0.25">
      <c r="A90" s="5" t="s">
        <v>43</v>
      </c>
      <c r="B90" s="6">
        <v>1</v>
      </c>
      <c r="C90" s="14" t="s">
        <v>73</v>
      </c>
      <c r="D90" s="14"/>
    </row>
    <row r="91" spans="1:4" ht="14.25" thickBot="1" x14ac:dyDescent="0.25">
      <c r="A91" s="16" t="s">
        <v>22</v>
      </c>
      <c r="B91" s="16">
        <f>SUM(B88:B90)</f>
        <v>18</v>
      </c>
      <c r="C91" s="83" t="s">
        <v>48</v>
      </c>
      <c r="D91" s="17"/>
    </row>
    <row r="92" spans="1:4" ht="15" thickBot="1" x14ac:dyDescent="0.35">
      <c r="A92" s="18"/>
      <c r="B92" s="18"/>
      <c r="C92" s="18"/>
      <c r="D92" s="18"/>
    </row>
    <row r="93" spans="1:4" ht="18.75" thickBot="1" x14ac:dyDescent="0.25">
      <c r="A93" s="10" t="s">
        <v>14</v>
      </c>
      <c r="B93" s="11">
        <v>13</v>
      </c>
      <c r="C93" s="31"/>
      <c r="D93" s="33"/>
    </row>
    <row r="94" spans="1:4" ht="27.75" thickBot="1" x14ac:dyDescent="0.25">
      <c r="A94" s="12" t="s">
        <v>3</v>
      </c>
      <c r="B94" s="32" t="s">
        <v>15</v>
      </c>
      <c r="C94" s="12" t="s">
        <v>7</v>
      </c>
      <c r="D94" s="12" t="s">
        <v>13</v>
      </c>
    </row>
    <row r="95" spans="1:4" ht="13.5" x14ac:dyDescent="0.2">
      <c r="A95" s="9"/>
      <c r="B95" s="8"/>
      <c r="C95" s="13"/>
      <c r="D95" s="13"/>
    </row>
    <row r="96" spans="1:4" ht="27" x14ac:dyDescent="0.2">
      <c r="A96" s="5" t="s">
        <v>28</v>
      </c>
      <c r="B96" s="6">
        <v>5</v>
      </c>
      <c r="C96" s="14" t="s">
        <v>74</v>
      </c>
      <c r="D96" s="14"/>
    </row>
    <row r="97" spans="1:4" ht="13.5" x14ac:dyDescent="0.2">
      <c r="A97" s="5" t="s">
        <v>29</v>
      </c>
      <c r="B97" s="6">
        <v>5</v>
      </c>
      <c r="C97" s="14"/>
      <c r="D97" s="14"/>
    </row>
    <row r="98" spans="1:4" ht="27.75" thickBot="1" x14ac:dyDescent="0.25">
      <c r="A98" s="5" t="s">
        <v>44</v>
      </c>
      <c r="B98" s="6">
        <v>8</v>
      </c>
      <c r="C98" s="14" t="s">
        <v>75</v>
      </c>
      <c r="D98" s="14"/>
    </row>
    <row r="99" spans="1:4" ht="14.25" thickBot="1" x14ac:dyDescent="0.25">
      <c r="A99" s="16" t="s">
        <v>22</v>
      </c>
      <c r="B99" s="16">
        <f>SUM(B95:B98)</f>
        <v>18</v>
      </c>
      <c r="C99" s="83" t="s">
        <v>48</v>
      </c>
      <c r="D99" s="17"/>
    </row>
    <row r="100" spans="1:4" ht="15" thickBot="1" x14ac:dyDescent="0.35">
      <c r="A100" s="18"/>
      <c r="B100" s="18"/>
      <c r="C100" s="18"/>
      <c r="D100" s="18"/>
    </row>
    <row r="101" spans="1:4" ht="18.75" thickBot="1" x14ac:dyDescent="0.25">
      <c r="A101" s="10" t="s">
        <v>14</v>
      </c>
      <c r="B101" s="11">
        <v>14</v>
      </c>
      <c r="C101" s="31"/>
      <c r="D101" s="33"/>
    </row>
    <row r="102" spans="1:4" ht="27.75" thickBot="1" x14ac:dyDescent="0.25">
      <c r="A102" s="12" t="s">
        <v>3</v>
      </c>
      <c r="B102" s="32" t="s">
        <v>15</v>
      </c>
      <c r="C102" s="12" t="s">
        <v>7</v>
      </c>
      <c r="D102" s="12" t="s">
        <v>13</v>
      </c>
    </row>
    <row r="103" spans="1:4" ht="27" x14ac:dyDescent="0.2">
      <c r="A103" s="9" t="s">
        <v>28</v>
      </c>
      <c r="B103" s="8">
        <v>2</v>
      </c>
      <c r="C103" s="13" t="s">
        <v>74</v>
      </c>
      <c r="D103" s="13"/>
    </row>
    <row r="104" spans="1:4" ht="13.5" x14ac:dyDescent="0.2">
      <c r="A104" s="5" t="s">
        <v>29</v>
      </c>
      <c r="B104" s="6">
        <v>2</v>
      </c>
      <c r="C104" s="14" t="s">
        <v>87</v>
      </c>
      <c r="D104" s="14"/>
    </row>
    <row r="105" spans="1:4" ht="27" x14ac:dyDescent="0.2">
      <c r="A105" s="5" t="s">
        <v>44</v>
      </c>
      <c r="B105" s="6">
        <v>3</v>
      </c>
      <c r="C105" s="14" t="s">
        <v>75</v>
      </c>
      <c r="D105" s="14"/>
    </row>
    <row r="106" spans="1:4" ht="13.5" x14ac:dyDescent="0.2">
      <c r="A106" s="5" t="s">
        <v>26</v>
      </c>
      <c r="B106" s="6">
        <v>10</v>
      </c>
      <c r="C106" s="14" t="s">
        <v>86</v>
      </c>
      <c r="D106" s="14"/>
    </row>
    <row r="107" spans="1:4" ht="27.75" thickBot="1" x14ac:dyDescent="0.25">
      <c r="A107" s="5" t="s">
        <v>43</v>
      </c>
      <c r="B107" s="6">
        <v>1</v>
      </c>
      <c r="C107" s="14" t="s">
        <v>73</v>
      </c>
      <c r="D107" s="14"/>
    </row>
    <row r="108" spans="1:4" ht="14.25" thickBot="1" x14ac:dyDescent="0.25">
      <c r="A108" s="16" t="s">
        <v>22</v>
      </c>
      <c r="B108" s="16">
        <f>SUM(B103:B107)</f>
        <v>18</v>
      </c>
      <c r="C108" s="83" t="s">
        <v>48</v>
      </c>
      <c r="D108" s="17"/>
    </row>
    <row r="109" spans="1:4" ht="15" thickBot="1" x14ac:dyDescent="0.35">
      <c r="A109" s="18"/>
      <c r="B109" s="18"/>
      <c r="C109" s="18"/>
      <c r="D109" s="18"/>
    </row>
    <row r="110" spans="1:4" ht="18.75" thickBot="1" x14ac:dyDescent="0.25">
      <c r="A110" s="10" t="s">
        <v>14</v>
      </c>
      <c r="B110" s="11">
        <v>15</v>
      </c>
      <c r="C110" s="31"/>
      <c r="D110" s="33"/>
    </row>
    <row r="111" spans="1:4" ht="27.75" thickBot="1" x14ac:dyDescent="0.25">
      <c r="A111" s="12" t="s">
        <v>3</v>
      </c>
      <c r="B111" s="32" t="s">
        <v>15</v>
      </c>
      <c r="C111" s="12" t="s">
        <v>7</v>
      </c>
      <c r="D111" s="12" t="s">
        <v>13</v>
      </c>
    </row>
    <row r="112" spans="1:4" ht="13.5" x14ac:dyDescent="0.2">
      <c r="A112" s="9" t="s">
        <v>26</v>
      </c>
      <c r="B112" s="8">
        <v>12</v>
      </c>
      <c r="C112" s="13" t="s">
        <v>76</v>
      </c>
      <c r="D112" s="13"/>
    </row>
    <row r="113" spans="1:4" ht="27" x14ac:dyDescent="0.2">
      <c r="A113" s="5" t="s">
        <v>43</v>
      </c>
      <c r="B113" s="6">
        <v>4</v>
      </c>
      <c r="C113" s="14" t="s">
        <v>77</v>
      </c>
      <c r="D113" s="14"/>
    </row>
    <row r="114" spans="1:4" ht="14.25" thickBot="1" x14ac:dyDescent="0.25">
      <c r="A114" s="5" t="s">
        <v>26</v>
      </c>
      <c r="B114" s="6">
        <v>2</v>
      </c>
      <c r="C114" s="14" t="s">
        <v>78</v>
      </c>
      <c r="D114" s="14"/>
    </row>
    <row r="115" spans="1:4" ht="14.25" thickBot="1" x14ac:dyDescent="0.25">
      <c r="A115" s="16" t="s">
        <v>22</v>
      </c>
      <c r="B115" s="16">
        <f>SUM(B112:B114)</f>
        <v>18</v>
      </c>
      <c r="C115" s="83" t="s">
        <v>48</v>
      </c>
      <c r="D115" s="17"/>
    </row>
    <row r="116" spans="1:4" ht="14.25" x14ac:dyDescent="0.3">
      <c r="A116" s="18"/>
      <c r="B116" s="18"/>
      <c r="C116" s="18"/>
      <c r="D116" s="18"/>
    </row>
    <row r="117" spans="1:4" x14ac:dyDescent="0.2">
      <c r="A117" s="84" t="s">
        <v>32</v>
      </c>
    </row>
  </sheetData>
  <sheetProtection insertRows="0" selectLockedCells="1"/>
  <dataValidations count="4">
    <dataValidation type="list" allowBlank="1" showInputMessage="1" showErrorMessage="1" sqref="A3:A7 A12:A15 A20:A23 A28 A33:A35 A40:A42 A47:A52 A57:A59 A64:A66 A71:A76 A81:A83 A88:A90 A95:A98 A103:A107 A112:A11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6 B24 B29 B36 B43 B53 B60 B67 B77 B84 B91 B99 B108 B115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7 B12:B15 B20:B23 B28 B33:B35 B40:B42 B47:B52 B57:B59 B64:B66 B71:B76 B81:B83 B88:B90 B95:B98 B103:B107 B112:B114 F16:F1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9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324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3249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286"/>
  <sheetViews>
    <sheetView tabSelected="1" view="pageBreakPreview" topLeftCell="A109" zoomScale="130" zoomScaleNormal="100" zoomScaleSheetLayoutView="130" workbookViewId="0">
      <selection activeCell="C119" sqref="C119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13" t="s">
        <v>14</v>
      </c>
      <c r="B1" s="72">
        <v>1</v>
      </c>
      <c r="C1" s="73" t="s">
        <v>23</v>
      </c>
      <c r="D1" s="82">
        <v>43343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54" x14ac:dyDescent="0.2">
      <c r="A3" s="9" t="s">
        <v>27</v>
      </c>
      <c r="B3" s="8">
        <v>2</v>
      </c>
      <c r="C3" s="13" t="s">
        <v>65</v>
      </c>
      <c r="D3" s="13" t="s">
        <v>92</v>
      </c>
    </row>
    <row r="4" spans="1:4" s="81" customFormat="1" ht="40.5" x14ac:dyDescent="0.2">
      <c r="A4" s="5" t="s">
        <v>58</v>
      </c>
      <c r="B4" s="6">
        <v>4</v>
      </c>
      <c r="C4" s="14" t="s">
        <v>59</v>
      </c>
      <c r="D4" s="14" t="s">
        <v>96</v>
      </c>
    </row>
    <row r="5" spans="1:4" s="81" customFormat="1" ht="27" x14ac:dyDescent="0.2">
      <c r="A5" s="5" t="s">
        <v>25</v>
      </c>
      <c r="B5" s="6">
        <v>4</v>
      </c>
      <c r="C5" s="14" t="s">
        <v>60</v>
      </c>
      <c r="D5" s="14" t="s">
        <v>95</v>
      </c>
    </row>
    <row r="6" spans="1:4" s="81" customFormat="1" ht="13.5" x14ac:dyDescent="0.2">
      <c r="A6" s="5" t="s">
        <v>24</v>
      </c>
      <c r="B6" s="6">
        <v>5</v>
      </c>
      <c r="C6" s="14" t="s">
        <v>66</v>
      </c>
      <c r="D6" s="14"/>
    </row>
    <row r="7" spans="1:4" s="81" customFormat="1" ht="27" x14ac:dyDescent="0.2">
      <c r="A7" s="5" t="s">
        <v>31</v>
      </c>
      <c r="B7" s="6">
        <v>3</v>
      </c>
      <c r="C7" s="14" t="s">
        <v>67</v>
      </c>
      <c r="D7" s="14" t="s">
        <v>93</v>
      </c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18</v>
      </c>
      <c r="C18" s="112" t="s">
        <v>48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113" t="s">
        <v>14</v>
      </c>
      <c r="B20" s="72">
        <v>2</v>
      </c>
      <c r="C20" s="73" t="s">
        <v>23</v>
      </c>
      <c r="D20" s="82">
        <v>43350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27" x14ac:dyDescent="0.2">
      <c r="A22" s="9" t="s">
        <v>25</v>
      </c>
      <c r="B22" s="8">
        <v>6</v>
      </c>
      <c r="C22" s="13" t="s">
        <v>61</v>
      </c>
      <c r="D22" s="13" t="s">
        <v>95</v>
      </c>
    </row>
    <row r="23" spans="1:9" ht="40.5" x14ac:dyDescent="0.2">
      <c r="A23" s="5" t="s">
        <v>58</v>
      </c>
      <c r="B23" s="6">
        <v>8</v>
      </c>
      <c r="C23" s="14" t="s">
        <v>63</v>
      </c>
      <c r="D23" s="14" t="s">
        <v>94</v>
      </c>
    </row>
    <row r="24" spans="1:9" ht="27" x14ac:dyDescent="0.2">
      <c r="A24" s="5" t="s">
        <v>27</v>
      </c>
      <c r="B24" s="6">
        <v>1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42</v>
      </c>
      <c r="B25" s="6">
        <v>3</v>
      </c>
      <c r="C25" s="14" t="s">
        <v>69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18</v>
      </c>
      <c r="C37" s="112" t="s">
        <v>48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113" t="s">
        <v>14</v>
      </c>
      <c r="B39" s="72">
        <v>3</v>
      </c>
      <c r="C39" s="73" t="s">
        <v>23</v>
      </c>
      <c r="D39" s="82">
        <v>43357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27" x14ac:dyDescent="0.2">
      <c r="A41" s="9" t="s">
        <v>44</v>
      </c>
      <c r="B41" s="8">
        <v>10</v>
      </c>
      <c r="C41" s="13" t="s">
        <v>98</v>
      </c>
      <c r="D41" s="13"/>
    </row>
    <row r="42" spans="1:9" ht="27" x14ac:dyDescent="0.2">
      <c r="A42" s="5" t="s">
        <v>43</v>
      </c>
      <c r="B42" s="6">
        <v>1</v>
      </c>
      <c r="C42" s="14" t="s">
        <v>70</v>
      </c>
      <c r="D42" s="14"/>
    </row>
    <row r="43" spans="1:9" ht="40.5" x14ac:dyDescent="0.2">
      <c r="A43" s="5" t="s">
        <v>45</v>
      </c>
      <c r="B43" s="6">
        <v>1</v>
      </c>
      <c r="C43" s="14" t="s">
        <v>99</v>
      </c>
      <c r="D43" s="14"/>
    </row>
    <row r="44" spans="1:9" ht="13.5" x14ac:dyDescent="0.2">
      <c r="A44" s="5" t="s">
        <v>26</v>
      </c>
      <c r="B44" s="6">
        <v>4</v>
      </c>
      <c r="C44" s="14" t="s">
        <v>71</v>
      </c>
      <c r="D44" s="14"/>
    </row>
    <row r="45" spans="1:9" ht="13.5" x14ac:dyDescent="0.2">
      <c r="A45" s="5" t="s">
        <v>21</v>
      </c>
      <c r="B45" s="6">
        <v>2</v>
      </c>
      <c r="C45" s="14" t="s">
        <v>104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18</v>
      </c>
      <c r="C56" s="112" t="s">
        <v>48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113" t="s">
        <v>14</v>
      </c>
      <c r="B58" s="72">
        <v>4</v>
      </c>
      <c r="C58" s="73" t="s">
        <v>23</v>
      </c>
      <c r="D58" s="82">
        <v>43364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21</v>
      </c>
      <c r="B60" s="8">
        <v>18</v>
      </c>
      <c r="C60" s="13" t="s">
        <v>97</v>
      </c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18</v>
      </c>
      <c r="C75" s="112" t="s">
        <v>48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113" t="s">
        <v>14</v>
      </c>
      <c r="B77" s="72">
        <v>5</v>
      </c>
      <c r="C77" s="73" t="s">
        <v>23</v>
      </c>
      <c r="D77" s="82">
        <v>43371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27" x14ac:dyDescent="0.2">
      <c r="A79" s="9" t="s">
        <v>24</v>
      </c>
      <c r="B79" s="8">
        <v>4</v>
      </c>
      <c r="C79" s="13" t="s">
        <v>100</v>
      </c>
      <c r="D79" s="13" t="s">
        <v>101</v>
      </c>
    </row>
    <row r="80" spans="1:4" ht="54" x14ac:dyDescent="0.2">
      <c r="A80" s="5" t="s">
        <v>45</v>
      </c>
      <c r="B80" s="6">
        <v>11</v>
      </c>
      <c r="C80" s="14" t="s">
        <v>103</v>
      </c>
      <c r="D80" s="14" t="s">
        <v>102</v>
      </c>
    </row>
    <row r="81" spans="1:4" ht="27" x14ac:dyDescent="0.2">
      <c r="A81" s="5" t="s">
        <v>43</v>
      </c>
      <c r="B81" s="6">
        <v>1</v>
      </c>
      <c r="C81" s="14"/>
      <c r="D81" s="14"/>
    </row>
    <row r="82" spans="1:4" ht="13.5" x14ac:dyDescent="0.2">
      <c r="A82" s="5" t="s">
        <v>24</v>
      </c>
      <c r="B82" s="6">
        <v>2</v>
      </c>
      <c r="C82" s="14" t="s">
        <v>105</v>
      </c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18</v>
      </c>
      <c r="C94" s="112" t="s">
        <v>48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113" t="s">
        <v>14</v>
      </c>
      <c r="B96" s="72">
        <v>6</v>
      </c>
      <c r="C96" s="73" t="s">
        <v>23</v>
      </c>
      <c r="D96" s="82">
        <v>43378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 t="s">
        <v>26</v>
      </c>
      <c r="B98" s="8">
        <v>8</v>
      </c>
      <c r="C98" s="13" t="s">
        <v>72</v>
      </c>
      <c r="D98" s="13"/>
    </row>
    <row r="99" spans="1:4" ht="40.5" x14ac:dyDescent="0.2">
      <c r="A99" s="5" t="s">
        <v>45</v>
      </c>
      <c r="B99" s="6">
        <v>4</v>
      </c>
      <c r="C99" s="14" t="s">
        <v>106</v>
      </c>
      <c r="D99" s="14"/>
    </row>
    <row r="100" spans="1:4" ht="27" x14ac:dyDescent="0.2">
      <c r="A100" s="5" t="s">
        <v>47</v>
      </c>
      <c r="B100" s="6">
        <v>5</v>
      </c>
      <c r="C100" s="14" t="s">
        <v>107</v>
      </c>
      <c r="D100" s="14"/>
    </row>
    <row r="101" spans="1:4" ht="27" x14ac:dyDescent="0.2">
      <c r="A101" s="5" t="s">
        <v>43</v>
      </c>
      <c r="B101" s="6">
        <v>1</v>
      </c>
      <c r="C101" s="14" t="s">
        <v>73</v>
      </c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18</v>
      </c>
      <c r="C113" s="112" t="s">
        <v>48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113" t="s">
        <v>14</v>
      </c>
      <c r="B115" s="72">
        <v>7</v>
      </c>
      <c r="C115" s="73" t="s">
        <v>23</v>
      </c>
      <c r="D115" s="82">
        <v>43385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40.5" x14ac:dyDescent="0.2">
      <c r="A117" s="9" t="s">
        <v>45</v>
      </c>
      <c r="B117" s="8">
        <v>16</v>
      </c>
      <c r="C117" s="13" t="s">
        <v>109</v>
      </c>
      <c r="D117" s="13"/>
    </row>
    <row r="118" spans="1:4" ht="13.5" x14ac:dyDescent="0.2">
      <c r="A118" s="5" t="s">
        <v>26</v>
      </c>
      <c r="B118" s="6">
        <v>2</v>
      </c>
      <c r="C118" s="14" t="s">
        <v>110</v>
      </c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18</v>
      </c>
      <c r="C132" s="112" t="s">
        <v>48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113" t="s">
        <v>14</v>
      </c>
      <c r="B134" s="72">
        <v>8</v>
      </c>
      <c r="C134" s="73" t="s">
        <v>23</v>
      </c>
      <c r="D134" s="82">
        <v>43392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 t="s">
        <v>21</v>
      </c>
      <c r="B136" s="8">
        <v>18</v>
      </c>
      <c r="C136" s="13" t="s">
        <v>108</v>
      </c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18</v>
      </c>
      <c r="C151" s="112" t="s">
        <v>48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113" t="s">
        <v>14</v>
      </c>
      <c r="B153" s="72">
        <v>9</v>
      </c>
      <c r="C153" s="73" t="s">
        <v>23</v>
      </c>
      <c r="D153" s="82">
        <v>43399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9" t="s">
        <v>21</v>
      </c>
      <c r="B155" s="8">
        <v>18</v>
      </c>
      <c r="C155" s="13" t="s">
        <v>108</v>
      </c>
      <c r="D155" s="13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18</v>
      </c>
      <c r="C170" s="112" t="s">
        <v>48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113" t="s">
        <v>14</v>
      </c>
      <c r="B172" s="72">
        <v>10</v>
      </c>
      <c r="C172" s="73" t="s">
        <v>23</v>
      </c>
      <c r="D172" s="82">
        <v>43406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13.5" x14ac:dyDescent="0.2">
      <c r="A174" s="9"/>
      <c r="B174" s="8"/>
      <c r="C174" s="13"/>
      <c r="D174" s="13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0</v>
      </c>
      <c r="C189" s="112" t="s">
        <v>48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113" t="s">
        <v>14</v>
      </c>
      <c r="B191" s="72">
        <v>11</v>
      </c>
      <c r="C191" s="73" t="s">
        <v>23</v>
      </c>
      <c r="D191" s="82">
        <v>43413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9"/>
      <c r="B193" s="8"/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0</v>
      </c>
      <c r="C208" s="112" t="s">
        <v>48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113" t="s">
        <v>14</v>
      </c>
      <c r="B210" s="72">
        <v>12</v>
      </c>
      <c r="C210" s="73" t="s">
        <v>23</v>
      </c>
      <c r="D210" s="82">
        <v>43420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0</v>
      </c>
      <c r="C227" s="112" t="s">
        <v>48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113" t="s">
        <v>14</v>
      </c>
      <c r="B229" s="72">
        <v>13</v>
      </c>
      <c r="C229" s="73" t="s">
        <v>23</v>
      </c>
      <c r="D229" s="82">
        <v>43427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112" t="s">
        <v>48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113" t="s">
        <v>14</v>
      </c>
      <c r="B248" s="72">
        <v>14</v>
      </c>
      <c r="C248" s="73" t="s">
        <v>23</v>
      </c>
      <c r="D248" s="82">
        <v>43434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112" t="s">
        <v>48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113" t="s">
        <v>14</v>
      </c>
      <c r="B267" s="72">
        <v>15</v>
      </c>
      <c r="C267" s="73" t="s">
        <v>23</v>
      </c>
      <c r="D267" s="82">
        <v>43441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112" t="s">
        <v>48</v>
      </c>
      <c r="D284" s="77"/>
    </row>
    <row r="285" spans="1:4" ht="14.25" x14ac:dyDescent="0.3">
      <c r="A285" s="78"/>
      <c r="B285" s="78"/>
      <c r="C285" s="78"/>
      <c r="D285" s="78"/>
    </row>
    <row r="286" spans="1:4" x14ac:dyDescent="0.2">
      <c r="A286" s="84" t="s">
        <v>32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">
      <formula1>lstTasks</formula1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120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120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GRENIER Sacha</cp:lastModifiedBy>
  <cp:lastPrinted>2017-05-19T14:26:56Z</cp:lastPrinted>
  <dcterms:created xsi:type="dcterms:W3CDTF">1996-10-21T11:03:58Z</dcterms:created>
  <dcterms:modified xsi:type="dcterms:W3CDTF">2018-10-12T08:36:36Z</dcterms:modified>
  <cp:contentStatus>Version 8.0</cp:contentStatus>
</cp:coreProperties>
</file>